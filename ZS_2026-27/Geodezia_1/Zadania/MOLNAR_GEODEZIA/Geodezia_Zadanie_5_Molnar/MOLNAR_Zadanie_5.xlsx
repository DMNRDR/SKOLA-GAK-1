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ZS_2026-27/Geodezia_1/Zadania/MOLNAR_GEODEZIA/Geodezia_Zadanie_5_Molnar/"/>
    </mc:Choice>
  </mc:AlternateContent>
  <xr:revisionPtr revIDLastSave="0" documentId="8_{B6A35A67-5C7B-4925-B153-6DA5965E73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34" i="1"/>
  <c r="C33" i="1"/>
  <c r="C32" i="1"/>
  <c r="C35" i="1" s="1"/>
  <c r="C31" i="1"/>
  <c r="C30" i="1"/>
  <c r="C29" i="1"/>
  <c r="F14" i="1"/>
  <c r="K15" i="1" s="1"/>
  <c r="F11" i="1"/>
  <c r="E11" i="1"/>
  <c r="C11" i="1"/>
  <c r="D5" i="1" s="1"/>
  <c r="G10" i="1"/>
  <c r="G9" i="1"/>
  <c r="G11" i="1" s="1"/>
  <c r="E15" i="1" s="1"/>
  <c r="G8" i="1"/>
  <c r="G7" i="1"/>
  <c r="G6" i="1"/>
  <c r="G5" i="1"/>
  <c r="E16" i="1" l="1"/>
  <c r="F16" i="1" s="1"/>
  <c r="K16" i="1" s="1"/>
  <c r="F15" i="1"/>
  <c r="R15" i="1"/>
  <c r="K14" i="1"/>
  <c r="R14" i="1"/>
</calcChain>
</file>

<file path=xl/sharedStrings.xml><?xml version="1.0" encoding="utf-8"?>
<sst xmlns="http://schemas.openxmlformats.org/spreadsheetml/2006/main" count="43" uniqueCount="40">
  <si>
    <t>ULOHA A</t>
  </si>
  <si>
    <t>Číslo
merania</t>
  </si>
  <si>
    <t>rᵢ
[m]</t>
  </si>
  <si>
    <t>r̄
[m]</t>
  </si>
  <si>
    <t>vᵢ = r̄ − rᵢ   [mm]</t>
  </si>
  <si>
    <t>vᵢ²
[mm²]</t>
  </si>
  <si>
    <t xml:space="preserve"> </t>
  </si>
  <si>
    <t>+</t>
  </si>
  <si>
    <t>-</t>
  </si>
  <si>
    <t>Σ</t>
  </si>
  <si>
    <t>mm</t>
  </si>
  <si>
    <t>m</t>
  </si>
  <si>
    <t xml:space="preserve">ARITMETICKY PRIEMER </t>
  </si>
  <si>
    <t>r</t>
  </si>
  <si>
    <t>POMERNA CHYBA 1</t>
  </si>
  <si>
    <t>Plocha kruhovej stavby</t>
  </si>
  <si>
    <t>m²</t>
  </si>
  <si>
    <t>JEDNOTKOVA STREDNA CHYBA</t>
  </si>
  <si>
    <t xml:space="preserve">m₀ </t>
  </si>
  <si>
    <t>OBVOD</t>
  </si>
  <si>
    <t>STREDNA CHYBA PLOCHY</t>
  </si>
  <si>
    <t>STREDNA CHYBA PRIEMERU</t>
  </si>
  <si>
    <t xml:space="preserve">mr </t>
  </si>
  <si>
    <t>STREDNA CHYBA OBVODU</t>
  </si>
  <si>
    <t>ULOHA B</t>
  </si>
  <si>
    <t>veličina</t>
  </si>
  <si>
    <t>hodnota</t>
  </si>
  <si>
    <t>stredná chyba</t>
  </si>
  <si>
    <t>d [m]</t>
  </si>
  <si>
    <t>β [g]  /  mβ [cc]</t>
  </si>
  <si>
    <t>hp [m]</t>
  </si>
  <si>
    <t>hc [m]</t>
  </si>
  <si>
    <t>ρ [cc]</t>
  </si>
  <si>
    <t>tg β</t>
  </si>
  <si>
    <t>Δh [m]</t>
  </si>
  <si>
    <t>člen d [m]</t>
  </si>
  <si>
    <t>člen β [m]</t>
  </si>
  <si>
    <t>člen hp [m]</t>
  </si>
  <si>
    <t>člen hc [m]</t>
  </si>
  <si>
    <t>mΔh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</si>
</sst>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0000"/>
    <numFmt numFmtId="166" formatCode="_-* #,##0.0000_-;\-* #,##0.0000_-;_-* &quot;-&quot;??_-;_-@_-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2"/>
    </font>
    <font>
      <sz val="12"/>
      <name val="Times New Roman"/>
      <family val="1"/>
    </font>
    <font>
      <b/>
      <sz val="15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color theme="1"/>
      <name val="Arial Unicode MS"/>
    </font>
    <font>
      <i/>
      <sz val="11"/>
      <name val="Times New Roman"/>
      <family val="1"/>
    </font>
    <font>
      <b/>
      <sz val="12"/>
      <name val="Calibri"/>
      <family val="2"/>
      <scheme val="minor"/>
    </font>
    <font>
      <sz val="12"/>
      <color rgb="FF1F4E79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4" fillId="2" borderId="0"/>
    <xf numFmtId="0" fontId="3" fillId="0" borderId="2"/>
    <xf numFmtId="43" fontId="1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6" xfId="0" applyBorder="1"/>
    <xf numFmtId="2" fontId="0" fillId="0" borderId="6" xfId="0" applyNumberFormat="1" applyBorder="1"/>
    <xf numFmtId="0" fontId="0" fillId="0" borderId="3" xfId="0" applyBorder="1" applyAlignment="1">
      <alignment horizontal="center"/>
    </xf>
    <xf numFmtId="165" fontId="0" fillId="0" borderId="6" xfId="0" applyNumberFormat="1" applyBorder="1"/>
    <xf numFmtId="0" fontId="5" fillId="0" borderId="0" xfId="0" applyFont="1"/>
    <xf numFmtId="0" fontId="6" fillId="0" borderId="0" xfId="0" applyFont="1"/>
    <xf numFmtId="0" fontId="7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0" xfId="0" applyFont="1"/>
    <xf numFmtId="0" fontId="7" fillId="0" borderId="15" xfId="0" applyFont="1" applyBorder="1" applyAlignment="1">
      <alignment horizontal="center" vertical="center" wrapText="1"/>
    </xf>
    <xf numFmtId="1" fontId="0" fillId="0" borderId="6" xfId="0" applyNumberFormat="1" applyBorder="1"/>
    <xf numFmtId="167" fontId="0" fillId="0" borderId="6" xfId="0" applyNumberFormat="1" applyBorder="1"/>
    <xf numFmtId="0" fontId="7" fillId="0" borderId="16" xfId="0" applyFont="1" applyBorder="1" applyAlignment="1">
      <alignment horizontal="center" vertical="center" wrapText="1"/>
    </xf>
    <xf numFmtId="167" fontId="0" fillId="0" borderId="12" xfId="0" applyNumberFormat="1" applyBorder="1"/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0" borderId="6" xfId="2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13" xfId="0" applyBorder="1"/>
    <xf numFmtId="1" fontId="0" fillId="0" borderId="6" xfId="0" applyNumberFormat="1" applyBorder="1" applyAlignment="1">
      <alignment horizontal="center" vertical="center"/>
    </xf>
    <xf numFmtId="0" fontId="3" fillId="0" borderId="7" xfId="2" applyBorder="1" applyAlignment="1">
      <alignment horizontal="center"/>
    </xf>
    <xf numFmtId="0" fontId="4" fillId="2" borderId="0" xfId="1" applyAlignment="1">
      <alignment horizontal="center"/>
    </xf>
    <xf numFmtId="0" fontId="0" fillId="0" borderId="0" xfId="0"/>
    <xf numFmtId="0" fontId="4" fillId="2" borderId="0" xfId="1" applyAlignment="1">
      <alignment horizontal="center" vertical="center"/>
    </xf>
    <xf numFmtId="166" fontId="1" fillId="0" borderId="0" xfId="3" applyNumberFormat="1" applyAlignment="1">
      <alignment horizontal="left" vertical="top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1" fontId="0" fillId="0" borderId="12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4">
    <cellStyle name="Comma" xfId="3" builtinId="3"/>
    <cellStyle name="Good" xfId="1" builtinId="26"/>
    <cellStyle name="Heading 1" xfId="2" builtinId="1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1E4"/>
      <rgbColor rgb="FFFFFF99"/>
      <rgbColor rgb="FF99CCFF"/>
      <rgbColor rgb="FFFF99CC"/>
      <rgbColor rgb="FFCC99FF"/>
      <rgbColor rgb="FFE7E0CE"/>
      <rgbColor rgb="FF3366FF"/>
      <rgbColor rgb="FF33CCCC"/>
      <rgbColor rgb="FF99CC00"/>
      <rgbColor rgb="FFFFCC00"/>
      <rgbColor rgb="FFFF9900"/>
      <rgbColor rgb="FFFF6600"/>
      <rgbColor rgb="FF4E55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15239</xdr:colOff>
      <xdr:row>20</xdr:row>
      <xdr:rowOff>30480</xdr:rowOff>
    </xdr:from>
    <xdr:to>
      <xdr:col>15</xdr:col>
      <xdr:colOff>375814</xdr:colOff>
      <xdr:row>33</xdr:row>
      <xdr:rowOff>76312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292DA-A40B-1DDF-A8E5-0C5659927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7759" y="4564380"/>
          <a:ext cx="6456575" cy="3040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7"/>
  <sheetViews>
    <sheetView tabSelected="1" zoomScaleNormal="100" workbookViewId="0">
      <selection activeCell="F22" sqref="F22"/>
    </sheetView>
  </sheetViews>
  <sheetFormatPr defaultColWidth="8.6640625" defaultRowHeight="14.4"/>
  <cols>
    <col min="1" max="3" width="11" customWidth="1"/>
    <col min="4" max="4" width="18.77734375" customWidth="1"/>
    <col min="5" max="5" width="9" customWidth="1"/>
    <col min="6" max="6" width="11" customWidth="1"/>
    <col min="10" max="10" width="19.5546875" customWidth="1"/>
    <col min="17" max="17" width="14.6640625" customWidth="1"/>
  </cols>
  <sheetData>
    <row r="1" spans="2:21" ht="21.75" customHeight="1">
      <c r="B1" s="33" t="s">
        <v>0</v>
      </c>
      <c r="C1" s="34"/>
      <c r="D1" s="34"/>
      <c r="E1" s="34"/>
      <c r="F1" s="34"/>
      <c r="G1" s="34"/>
    </row>
    <row r="2" spans="2:21" ht="21.75" customHeight="1"/>
    <row r="3" spans="2:21" ht="19.5" customHeight="1">
      <c r="B3" s="28" t="s">
        <v>1</v>
      </c>
      <c r="C3" s="28" t="s">
        <v>2</v>
      </c>
      <c r="D3" s="28" t="s">
        <v>3</v>
      </c>
      <c r="E3" s="28" t="s">
        <v>4</v>
      </c>
      <c r="F3" s="30"/>
      <c r="G3" s="28" t="s">
        <v>5</v>
      </c>
      <c r="L3" t="s">
        <v>6</v>
      </c>
    </row>
    <row r="4" spans="2:21" ht="19.5" customHeight="1">
      <c r="B4" s="29"/>
      <c r="C4" s="29"/>
      <c r="D4" s="29"/>
      <c r="E4" s="1" t="s">
        <v>7</v>
      </c>
      <c r="F4" s="1" t="s">
        <v>8</v>
      </c>
      <c r="G4" s="29"/>
    </row>
    <row r="5" spans="2:21" ht="19.5" customHeight="1">
      <c r="B5" s="1">
        <v>1</v>
      </c>
      <c r="C5" s="2">
        <v>131.4</v>
      </c>
      <c r="D5" s="37">
        <f>ROUND(C11/6,3)</f>
        <v>131.24</v>
      </c>
      <c r="E5" s="3"/>
      <c r="F5" s="4">
        <v>160</v>
      </c>
      <c r="G5" s="4">
        <f>POWER(F5,2)</f>
        <v>25600</v>
      </c>
    </row>
    <row r="6" spans="2:21" ht="19.5" customHeight="1">
      <c r="B6" s="1">
        <v>2</v>
      </c>
      <c r="C6" s="2">
        <v>131.29</v>
      </c>
      <c r="D6" s="38"/>
      <c r="E6" s="2"/>
      <c r="F6" s="4">
        <v>50</v>
      </c>
      <c r="G6" s="4">
        <f>POWER(F6,2)</f>
        <v>2500</v>
      </c>
    </row>
    <row r="7" spans="2:21" ht="19.5" customHeight="1">
      <c r="B7" s="1">
        <v>3</v>
      </c>
      <c r="C7" s="2">
        <v>131.15</v>
      </c>
      <c r="D7" s="38"/>
      <c r="E7" s="4">
        <v>90</v>
      </c>
      <c r="F7" s="4"/>
      <c r="G7" s="4">
        <f>POWER(E7,2)</f>
        <v>8100</v>
      </c>
    </row>
    <row r="8" spans="2:21" ht="19.5" customHeight="1">
      <c r="B8" s="1">
        <v>4</v>
      </c>
      <c r="C8" s="2">
        <v>131.24</v>
      </c>
      <c r="D8" s="38"/>
      <c r="E8" s="4">
        <v>0</v>
      </c>
      <c r="F8" s="4"/>
      <c r="G8" s="4">
        <f>POWER(E8,2)</f>
        <v>0</v>
      </c>
    </row>
    <row r="9" spans="2:21" ht="19.5" customHeight="1">
      <c r="B9" s="1">
        <v>5</v>
      </c>
      <c r="C9" s="2">
        <v>131.19</v>
      </c>
      <c r="D9" s="38"/>
      <c r="E9" s="4">
        <v>50</v>
      </c>
      <c r="F9" s="4"/>
      <c r="G9" s="4">
        <f>POWER(E9,2)</f>
        <v>2500</v>
      </c>
    </row>
    <row r="10" spans="2:21" ht="15.6" customHeight="1">
      <c r="B10" s="1">
        <v>6</v>
      </c>
      <c r="C10" s="2">
        <v>131.16999999999999</v>
      </c>
      <c r="D10" s="38"/>
      <c r="E10" s="4">
        <v>70</v>
      </c>
      <c r="F10" s="4"/>
      <c r="G10" s="4">
        <f>POWER(E10,2)</f>
        <v>4900</v>
      </c>
    </row>
    <row r="11" spans="2:21" ht="15.6" customHeight="1">
      <c r="B11" s="1" t="s">
        <v>9</v>
      </c>
      <c r="C11" s="2">
        <f>SUM(C5:C10)</f>
        <v>787.43999999999994</v>
      </c>
      <c r="D11" s="29"/>
      <c r="E11" s="4">
        <f>SUM(E5:E10)</f>
        <v>210</v>
      </c>
      <c r="F11" s="4">
        <f>SUM(F5:F10)</f>
        <v>210</v>
      </c>
      <c r="G11" s="4">
        <f>SUM(G5:G10)</f>
        <v>43600</v>
      </c>
    </row>
    <row r="13" spans="2:21" ht="15" customHeight="1" thickBot="1">
      <c r="E13" s="7" t="s">
        <v>10</v>
      </c>
      <c r="F13" s="7" t="s">
        <v>11</v>
      </c>
    </row>
    <row r="14" spans="2:21" ht="20.399999999999999" customHeight="1" thickBot="1">
      <c r="B14" s="32" t="s">
        <v>12</v>
      </c>
      <c r="C14" s="23"/>
      <c r="D14" s="23"/>
      <c r="E14" s="5"/>
      <c r="F14" s="5">
        <f>SUM(C5+C6+C7+C8+C10+C9)/6</f>
        <v>131.24</v>
      </c>
      <c r="G14" t="s">
        <v>13</v>
      </c>
      <c r="H14" s="25" t="s">
        <v>14</v>
      </c>
      <c r="I14" s="23"/>
      <c r="J14" s="24"/>
      <c r="K14" s="39">
        <f>F14/F16</f>
        <v>3442.5765366959054</v>
      </c>
      <c r="L14" s="40"/>
      <c r="M14" s="41"/>
      <c r="N14" s="9"/>
      <c r="O14" s="27" t="s">
        <v>15</v>
      </c>
      <c r="P14" s="23"/>
      <c r="Q14" s="24"/>
      <c r="R14" s="31">
        <f>PI()*F14^2</f>
        <v>54110.595830049017</v>
      </c>
      <c r="S14" s="23"/>
      <c r="T14" s="24"/>
      <c r="U14" t="s">
        <v>16</v>
      </c>
    </row>
    <row r="15" spans="2:21" ht="20.399999999999999" customHeight="1" thickBot="1">
      <c r="B15" s="25" t="s">
        <v>17</v>
      </c>
      <c r="C15" s="23"/>
      <c r="D15" s="24"/>
      <c r="E15" s="6">
        <f>SQRT(G11/5)</f>
        <v>93.380940239430018</v>
      </c>
      <c r="F15" s="8">
        <f>E15/1000</f>
        <v>9.3380940239430013E-2</v>
      </c>
      <c r="G15" t="s">
        <v>18</v>
      </c>
      <c r="H15" s="25" t="s">
        <v>19</v>
      </c>
      <c r="I15" s="23"/>
      <c r="J15" s="24"/>
      <c r="K15" s="26">
        <f>2*PI()*F14</f>
        <v>824.60523971424891</v>
      </c>
      <c r="L15" s="23"/>
      <c r="M15" s="24"/>
      <c r="N15" s="9" t="s">
        <v>11</v>
      </c>
      <c r="O15" s="27" t="s">
        <v>20</v>
      </c>
      <c r="P15" s="23"/>
      <c r="Q15" s="24"/>
      <c r="R15" s="31">
        <f>2*PI()*F14*F16</f>
        <v>31.436103309983601</v>
      </c>
      <c r="S15" s="23"/>
      <c r="T15" s="24"/>
      <c r="U15" t="s">
        <v>16</v>
      </c>
    </row>
    <row r="16" spans="2:21" ht="20.399999999999999" customHeight="1" thickBot="1">
      <c r="B16" s="25" t="s">
        <v>21</v>
      </c>
      <c r="C16" s="23"/>
      <c r="D16" s="24"/>
      <c r="E16" s="6">
        <f>E15/SQRT(6)</f>
        <v>38.122609214655462</v>
      </c>
      <c r="F16" s="8">
        <f>E16/1000</f>
        <v>3.8122609214655462E-2</v>
      </c>
      <c r="G16" t="s">
        <v>22</v>
      </c>
      <c r="H16" s="25" t="s">
        <v>23</v>
      </c>
      <c r="I16" s="23"/>
      <c r="J16" s="24"/>
      <c r="K16" s="22">
        <f>2*PI()*F16</f>
        <v>0.23953141808887229</v>
      </c>
      <c r="L16" s="23"/>
      <c r="M16" s="24"/>
      <c r="N16" s="9" t="s">
        <v>11</v>
      </c>
    </row>
    <row r="17" spans="2:16">
      <c r="N17" s="36"/>
      <c r="O17" s="34"/>
      <c r="P17" s="34"/>
    </row>
    <row r="19" spans="2:16">
      <c r="B19" s="35" t="s">
        <v>24</v>
      </c>
      <c r="C19" s="34"/>
      <c r="D19" s="34"/>
      <c r="E19" s="34"/>
      <c r="F19" s="34"/>
    </row>
    <row r="20" spans="2:16">
      <c r="B20" s="34"/>
      <c r="C20" s="34"/>
      <c r="D20" s="34"/>
      <c r="E20" s="34"/>
      <c r="F20" s="34"/>
    </row>
    <row r="22" spans="2:16" ht="15.6">
      <c r="B22" s="11" t="s">
        <v>25</v>
      </c>
      <c r="C22" s="11" t="s">
        <v>26</v>
      </c>
      <c r="D22" s="11" t="s">
        <v>27</v>
      </c>
    </row>
    <row r="23" spans="2:16" ht="15.6">
      <c r="B23" s="11" t="s">
        <v>28</v>
      </c>
      <c r="C23" s="12">
        <v>201.26</v>
      </c>
      <c r="D23" s="12">
        <v>0.03</v>
      </c>
    </row>
    <row r="24" spans="2:16" ht="31.2">
      <c r="B24" s="11" t="s">
        <v>29</v>
      </c>
      <c r="C24" s="12">
        <v>19.508199999999999</v>
      </c>
      <c r="D24" s="12">
        <v>5</v>
      </c>
    </row>
    <row r="25" spans="2:16" ht="15.6">
      <c r="B25" s="11" t="s">
        <v>30</v>
      </c>
      <c r="C25" s="12">
        <v>2.31</v>
      </c>
      <c r="D25" s="12">
        <v>0.02</v>
      </c>
    </row>
    <row r="26" spans="2:16" ht="15.6">
      <c r="B26" s="11" t="s">
        <v>31</v>
      </c>
      <c r="C26" s="12">
        <v>2.14</v>
      </c>
      <c r="D26" s="12">
        <v>0.01</v>
      </c>
    </row>
    <row r="27" spans="2:16" ht="15" thickBot="1">
      <c r="B27" s="13"/>
      <c r="C27" s="13"/>
      <c r="D27" s="13"/>
    </row>
    <row r="28" spans="2:16" ht="16.2" thickBot="1">
      <c r="B28" s="14" t="s">
        <v>32</v>
      </c>
      <c r="C28" s="15">
        <f>200/PI()*10000</f>
        <v>636619.77236758138</v>
      </c>
      <c r="D28" s="13"/>
    </row>
    <row r="29" spans="2:16" ht="16.2" thickBot="1">
      <c r="B29" s="14" t="s">
        <v>33</v>
      </c>
      <c r="C29" s="16">
        <f>TAN(C24*PI()/200)</f>
        <v>0.31640016640181506</v>
      </c>
      <c r="D29" s="13"/>
    </row>
    <row r="30" spans="2:16" ht="16.2" thickBot="1">
      <c r="B30" s="14" t="s">
        <v>34</v>
      </c>
      <c r="C30" s="6">
        <f>C23*C29+C25-C26</f>
        <v>63.848697490029295</v>
      </c>
      <c r="D30" s="13"/>
    </row>
    <row r="31" spans="2:16" ht="16.2" thickBot="1">
      <c r="B31" s="17" t="s">
        <v>35</v>
      </c>
      <c r="C31" s="18">
        <f>C29*D23</f>
        <v>9.4920049920544508E-3</v>
      </c>
      <c r="D31" s="13"/>
    </row>
    <row r="32" spans="2:16" ht="16.2" thickBot="1">
      <c r="B32" s="19" t="s">
        <v>36</v>
      </c>
      <c r="C32" s="16">
        <f>C23/COS(C24*PI()/200)^2*D24/C28</f>
        <v>1.7389339767023143E-3</v>
      </c>
      <c r="D32" s="13"/>
    </row>
    <row r="33" spans="2:4" ht="31.8" thickBot="1">
      <c r="B33" s="20" t="s">
        <v>37</v>
      </c>
      <c r="C33" s="21">
        <f>D25</f>
        <v>0.02</v>
      </c>
      <c r="D33" s="13"/>
    </row>
    <row r="34" spans="2:4" ht="31.8" thickBot="1">
      <c r="B34" s="14" t="s">
        <v>38</v>
      </c>
      <c r="C34" s="21">
        <f>D26</f>
        <v>0.01</v>
      </c>
      <c r="D34" s="13"/>
    </row>
    <row r="35" spans="2:4" ht="16.2" thickBot="1">
      <c r="B35" s="14" t="s">
        <v>39</v>
      </c>
      <c r="C35" s="6">
        <f>SQRT(C31^2+C32^2+C33^2+C34^2)</f>
        <v>2.4354097194199509E-2</v>
      </c>
      <c r="D35" s="13"/>
    </row>
    <row r="37" spans="2:4">
      <c r="B37" s="10"/>
    </row>
  </sheetData>
  <mergeCells count="22">
    <mergeCell ref="R15:T15"/>
    <mergeCell ref="B14:D14"/>
    <mergeCell ref="B3:B4"/>
    <mergeCell ref="B1:G1"/>
    <mergeCell ref="B19:F20"/>
    <mergeCell ref="N17:P17"/>
    <mergeCell ref="H16:J16"/>
    <mergeCell ref="D5:D11"/>
    <mergeCell ref="K14:M14"/>
    <mergeCell ref="G3:G4"/>
    <mergeCell ref="D3:D4"/>
    <mergeCell ref="B15:D15"/>
    <mergeCell ref="H15:J15"/>
    <mergeCell ref="O14:Q14"/>
    <mergeCell ref="H14:J14"/>
    <mergeCell ref="R14:T14"/>
    <mergeCell ref="K16:M16"/>
    <mergeCell ref="B16:D16"/>
    <mergeCell ref="K15:M15"/>
    <mergeCell ref="O15:Q15"/>
    <mergeCell ref="C3:C4"/>
    <mergeCell ref="E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edith Molar</cp:lastModifiedBy>
  <cp:revision>0</cp:revision>
  <dcterms:created xsi:type="dcterms:W3CDTF">2026-10-19T10:15:15Z</dcterms:created>
  <dcterms:modified xsi:type="dcterms:W3CDTF">2026-10-19T11:44:56Z</dcterms:modified>
  <dc:language>en-US</dc:language>
</cp:coreProperties>
</file>