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dd/mm/yyyy"/>
    <numFmt numFmtId="167" formatCode="0.0000"/>
    <numFmt numFmtId="168" formatCode="0.000000"/>
  </numFmts>
  <fonts count="16">
    <font>
      <name val="Aptos Narrow"/>
      <color theme="1"/>
      <sz val="11"/>
    </font>
    <font>
      <name val="Aptos Narrow"/>
      <color theme="1"/>
      <sz val="11"/>
    </font>
    <font>
      <name val="Aptos Narrow"/>
      <color rgb="FF9C5700"/>
      <sz val="11"/>
    </font>
    <font>
      <name val="Arial"/>
      <color rgb="FF9C5700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theme="1"/>
      <sz val="10"/>
    </font>
    <font>
      <name val="Arial"/>
      <b val="1"/>
      <color rgb="FF9C5700"/>
      <sz val="10"/>
    </font>
    <font>
      <name val="Aptos"/>
      <family val="2"/>
      <b val="1"/>
      <color rgb="FFFFFFFF"/>
      <sz val="10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Calibri"/>
      <charset val="238"/>
      <family val="2"/>
      <color theme="0"/>
      <sz val="11"/>
      <scheme val="minor"/>
    </font>
    <font>
      <name val="Aptos"/>
      <b val="1"/>
      <color rgb="FFFFFFFF"/>
      <sz val="10"/>
    </font>
    <font>
      <name val="Aptos"/>
      <b val="1"/>
      <sz val="10"/>
    </font>
    <font>
      <name val="Aptos"/>
      <sz val="10"/>
    </font>
    <font>
      <name val="Consolas"/>
      <b val="1"/>
      <color rgb="FFC00000"/>
      <sz val="11"/>
    </font>
  </fonts>
  <fills count="2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1" fillId="0" borderId="4"/>
    <xf numFmtId="0" fontId="2" fillId="2" borderId="4"/>
    <xf numFmtId="0" fontId="1" fillId="3" borderId="4"/>
    <xf numFmtId="0" fontId="1" fillId="4" borderId="4"/>
    <xf numFmtId="0" fontId="11" fillId="19" borderId="4"/>
  </cellStyleXfs>
  <cellXfs count="8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2" applyAlignment="1" pivotButton="0" quotePrefix="0" xfId="1">
      <alignment horizontal="center"/>
    </xf>
    <xf numFmtId="0" fontId="2" fillId="2" borderId="2" pivotButton="0" quotePrefix="0" xfId="1"/>
    <xf numFmtId="0" fontId="3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 wrapText="1"/>
    </xf>
    <xf numFmtId="0" fontId="7" fillId="10" borderId="3" pivotButton="0" quotePrefix="0" xfId="0"/>
    <xf numFmtId="0" fontId="4" fillId="11" borderId="4" applyAlignment="1" pivotButton="0" quotePrefix="0" xfId="0">
      <alignment horizontal="center" vertical="center"/>
    </xf>
    <xf numFmtId="0" fontId="8" fillId="13" borderId="5" applyAlignment="1" pivotButton="0" quotePrefix="0" xfId="0">
      <alignment vertical="center"/>
    </xf>
    <xf numFmtId="0" fontId="9" fillId="14" borderId="5" applyAlignment="1" pivotButton="0" quotePrefix="0" xfId="0">
      <alignment vertical="center"/>
    </xf>
    <xf numFmtId="1" fontId="10" fillId="14" borderId="5" applyAlignment="1" pivotButton="0" quotePrefix="0" xfId="0">
      <alignment horizontal="center" vertical="center"/>
    </xf>
    <xf numFmtId="164" fontId="10" fillId="14" borderId="5" applyAlignment="1" pivotButton="0" quotePrefix="0" xfId="0">
      <alignment horizontal="center" vertical="center"/>
    </xf>
    <xf numFmtId="0" fontId="10" fillId="16" borderId="6" applyAlignment="1" pivotButton="0" quotePrefix="0" xfId="0">
      <alignment vertical="center"/>
    </xf>
    <xf numFmtId="0" fontId="9" fillId="18" borderId="2" applyAlignment="1" pivotButton="0" quotePrefix="0" xfId="0">
      <alignment vertical="center"/>
    </xf>
    <xf numFmtId="1" fontId="9" fillId="17" borderId="6" applyAlignment="1" pivotButton="0" quotePrefix="0" xfId="0">
      <alignment horizontal="center" vertical="center"/>
    </xf>
    <xf numFmtId="166" fontId="9" fillId="17" borderId="6" applyAlignment="1" pivotButton="0" quotePrefix="0" xfId="0">
      <alignment horizontal="center" vertical="center"/>
    </xf>
    <xf numFmtId="164" fontId="7" fillId="10" borderId="7" pivotButton="0" quotePrefix="0" xfId="0"/>
    <xf numFmtId="2" fontId="6" fillId="9" borderId="2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0" fontId="7" fillId="10" borderId="7" applyAlignment="1" pivotButton="0" quotePrefix="0" xfId="0">
      <alignment horizontal="left" vertical="center"/>
    </xf>
    <xf numFmtId="2" fontId="6" fillId="9" borderId="11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2" fontId="6" fillId="0" borderId="11" applyAlignment="1" pivotButton="0" quotePrefix="0" xfId="0">
      <alignment horizontal="center" vertical="center"/>
    </xf>
    <xf numFmtId="0" fontId="11" fillId="19" borderId="12" applyAlignment="1" pivotButton="0" quotePrefix="0" xfId="4">
      <alignment horizontal="center" vertical="center"/>
    </xf>
    <xf numFmtId="0" fontId="11" fillId="19" borderId="13" applyAlignment="1" pivotButton="0" quotePrefix="0" xfId="4">
      <alignment horizontal="center" vertical="center"/>
    </xf>
    <xf numFmtId="0" fontId="11" fillId="19" borderId="14" applyAlignment="1" pivotButton="0" quotePrefix="0" xfId="4">
      <alignment horizontal="center" vertical="center"/>
    </xf>
    <xf numFmtId="0" fontId="2" fillId="2" borderId="2" applyAlignment="1" pivotButton="0" quotePrefix="0" xfId="1">
      <alignment textRotation="90"/>
    </xf>
    <xf numFmtId="0" fontId="2" fillId="2" borderId="2" applyAlignment="1" pivotButton="0" quotePrefix="0" xfId="1">
      <alignment horizontal="center" textRotation="90"/>
    </xf>
    <xf numFmtId="0" fontId="3" fillId="10" borderId="2" applyAlignment="1" pivotButton="0" quotePrefix="0" xfId="0">
      <alignment horizontal="center"/>
    </xf>
    <xf numFmtId="0" fontId="0" fillId="3" borderId="2" applyAlignment="1" pivotButton="0" quotePrefix="0" xfId="0">
      <alignment horizontal="center" vertical="center" textRotation="90"/>
    </xf>
    <xf numFmtId="0" fontId="4" fillId="6" borderId="2" applyAlignment="1" pivotButton="0" quotePrefix="0" xfId="0">
      <alignment horizontal="center" vertical="center" textRotation="90"/>
    </xf>
    <xf numFmtId="0" fontId="4" fillId="11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textRotation="90"/>
    </xf>
    <xf numFmtId="1" fontId="5" fillId="7" borderId="2" applyAlignment="1" pivotButton="0" quotePrefix="0" xfId="0">
      <alignment horizontal="center" vertical="center" textRotation="90"/>
    </xf>
    <xf numFmtId="165" fontId="5" fillId="9" borderId="2" applyAlignment="1" pivotButton="0" quotePrefix="0" xfId="0">
      <alignment horizontal="center" vertical="center"/>
    </xf>
    <xf numFmtId="1" fontId="5" fillId="9" borderId="2" applyAlignment="1" pivotButton="0" quotePrefix="0" xfId="0">
      <alignment horizontal="center" vertical="center"/>
    </xf>
    <xf numFmtId="0" fontId="12" fillId="21" borderId="17" applyAlignment="1" pivotButton="0" quotePrefix="0" xfId="0">
      <alignment horizontal="center" vertical="center" wrapText="1"/>
    </xf>
    <xf numFmtId="1" fontId="14" fillId="22" borderId="17" applyAlignment="1" pivotButton="0" quotePrefix="0" xfId="0">
      <alignment horizontal="center"/>
    </xf>
    <xf numFmtId="2" fontId="14" fillId="0" borderId="17" applyAlignment="1" pivotButton="0" quotePrefix="0" xfId="0">
      <alignment horizontal="center"/>
    </xf>
    <xf numFmtId="0" fontId="14" fillId="22" borderId="17" applyAlignment="1" pivotButton="0" quotePrefix="0" xfId="0">
      <alignment horizontal="center"/>
    </xf>
    <xf numFmtId="2" fontId="14" fillId="22" borderId="17" applyAlignment="1" pivotButton="0" quotePrefix="0" xfId="0">
      <alignment horizontal="center"/>
    </xf>
    <xf numFmtId="167" fontId="14" fillId="22" borderId="17" applyAlignment="1" pivotButton="0" quotePrefix="0" xfId="0">
      <alignment horizontal="center"/>
    </xf>
    <xf numFmtId="1" fontId="14" fillId="0" borderId="17" applyAlignment="1" pivotButton="0" quotePrefix="0" xfId="0">
      <alignment horizontal="center"/>
    </xf>
    <xf numFmtId="0" fontId="14" fillId="0" borderId="17" applyAlignment="1" pivotButton="0" quotePrefix="0" xfId="0">
      <alignment horizontal="center"/>
    </xf>
    <xf numFmtId="164" fontId="13" fillId="22" borderId="17" applyAlignment="1" pivotButton="0" quotePrefix="0" xfId="0">
      <alignment horizontal="center"/>
    </xf>
    <xf numFmtId="0" fontId="0" fillId="0" borderId="4" pivotButton="0" quotePrefix="0" xfId="0"/>
    <xf numFmtId="0" fontId="8" fillId="12" borderId="18" applyAlignment="1" pivotButton="0" quotePrefix="0" xfId="0">
      <alignment horizontal="left" vertical="center"/>
    </xf>
    <xf numFmtId="0" fontId="9" fillId="0" borderId="4" applyAlignment="1" pivotButton="0" quotePrefix="0" xfId="0">
      <alignment vertical="center"/>
    </xf>
    <xf numFmtId="1" fontId="10" fillId="16" borderId="4" applyAlignment="1" pivotButton="0" quotePrefix="0" xfId="0">
      <alignment horizontal="center" vertical="center"/>
    </xf>
    <xf numFmtId="0" fontId="13" fillId="0" borderId="4" pivotButton="0" quotePrefix="0" xfId="0"/>
    <xf numFmtId="168" fontId="1" fillId="0" borderId="17" pivotButton="0" quotePrefix="0" xfId="0"/>
    <xf numFmtId="0" fontId="14" fillId="0" borderId="4" pivotButton="0" quotePrefix="0" xfId="0"/>
    <xf numFmtId="2" fontId="1" fillId="0" borderId="17" pivotButton="0" quotePrefix="0" xfId="0"/>
    <xf numFmtId="2" fontId="1" fillId="0" borderId="17" applyAlignment="1" pivotButton="0" quotePrefix="0" xfId="0">
      <alignment horizontal="center"/>
    </xf>
    <xf numFmtId="0" fontId="12" fillId="21" borderId="17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2" borderId="2" applyAlignment="1" pivotButton="0" quotePrefix="0" xfId="1">
      <alignment horizontal="center"/>
    </xf>
    <xf numFmtId="0" fontId="0" fillId="0" borderId="11" pivotButton="0" quotePrefix="0" xfId="0"/>
    <xf numFmtId="0" fontId="4" fillId="8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15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center"/>
    </xf>
    <xf numFmtId="0" fontId="8" fillId="12" borderId="4" applyAlignment="1" pivotButton="0" quotePrefix="0" xfId="0">
      <alignment horizontal="center" vertical="center"/>
    </xf>
    <xf numFmtId="0" fontId="0" fillId="0" borderId="16" pivotButton="0" quotePrefix="0" xfId="0"/>
    <xf numFmtId="0" fontId="8" fillId="15" borderId="4" applyAlignment="1" pivotButton="0" quotePrefix="0" xfId="0">
      <alignment vertical="center"/>
    </xf>
    <xf numFmtId="0" fontId="8" fillId="12" borderId="18" applyAlignment="1" pivotButton="0" quotePrefix="0" xfId="0">
      <alignment horizontal="center" vertical="center"/>
    </xf>
    <xf numFmtId="0" fontId="0" fillId="0" borderId="18" pivotButton="0" quotePrefix="0" xfId="0"/>
    <xf numFmtId="2" fontId="6" fillId="9" borderId="15" applyAlignment="1" pivotButton="0" quotePrefix="0" xfId="0">
      <alignment horizontal="center" vertical="center"/>
    </xf>
    <xf numFmtId="0" fontId="8" fillId="13" borderId="5" applyAlignment="1" pivotButton="0" quotePrefix="0" xfId="0">
      <alignment horizontal="center"/>
    </xf>
    <xf numFmtId="0" fontId="0" fillId="0" borderId="5" pivotButton="0" quotePrefix="0" xfId="0"/>
    <xf numFmtId="0" fontId="15" fillId="23" borderId="5" applyAlignment="1" pivotButton="0" quotePrefix="0" xfId="0">
      <alignment horizontal="center"/>
    </xf>
    <xf numFmtId="168" fontId="1" fillId="0" borderId="17" pivotButton="0" quotePrefix="0" xfId="0"/>
    <xf numFmtId="167" fontId="14" fillId="22" borderId="17" applyAlignment="1" pivotButton="0" quotePrefix="0" xfId="0">
      <alignment horizontal="center"/>
    </xf>
  </cellXfs>
  <cellStyles count="5">
    <cellStyle name="Normal" xfId="0" builtinId="0"/>
    <cellStyle name="Neutral" xfId="1"/>
    <cellStyle name="60% - Accent1" xfId="2"/>
    <cellStyle name="60% - Accent2" xfId="3"/>
    <cellStyle name="Accent2" xfId="4" builtinId="33"/>
  </cellStyles>
  <dxfs count="25">
    <dxf>
      <font>
        <b val="1"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500" b="1"/>
            </a:pPr>
            <a:r>
              <a:rPr lang="en-US" sz="1500" b="1"/>
              <a:t>VSP STUDENTOV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clustered"/>
        <varyColors val="0"/>
        <ser>
          <idx val="0"/>
          <order val="0"/>
          <tx>
            <v>VSP</v>
          </tx>
          <spPr>
            <a:solidFill xmlns:a="http://schemas.openxmlformats.org/drawingml/2006/main">
              <a:srgbClr val="1B6987"/>
            </a:solidFill>
            <a:ln xmlns:a="http://schemas.openxmlformats.org/drawingml/2006/main">
              <a:solidFill>
                <a:srgbClr val="09465D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Sheet1!$C$33:$C$50</f>
              <numCache>
                <formatCode>0.00</formatCode>
                <ptCount val="18"/>
                <pt idx="0">
                  <v>2.513513513513514</v>
                </pt>
                <pt idx="1">
                  <v>2.405405405405405</v>
                </pt>
                <pt idx="2">
                  <v>2.148648648648649</v>
                </pt>
                <pt idx="3">
                  <v>2.324324324324324</v>
                </pt>
                <pt idx="4">
                  <v>2.621621621621621</v>
                </pt>
                <pt idx="5">
                  <v>2.445945945945946</v>
                </pt>
                <pt idx="6">
                  <v>3.135135135135135</v>
                </pt>
                <pt idx="7">
                  <v>1.77027027027027</v>
                </pt>
                <pt idx="8">
                  <v>2</v>
                </pt>
                <pt idx="9">
                  <v>1.675675675675676</v>
                </pt>
                <pt idx="10">
                  <v>2.905405405405405</v>
                </pt>
                <pt idx="11">
                  <v>2.243243243243243</v>
                </pt>
                <pt idx="12">
                  <v>2.175675675675676</v>
                </pt>
                <pt idx="13">
                  <v>2.851351351351351</v>
                </pt>
                <pt idx="14">
                  <v>2.864864864864865</v>
                </pt>
                <pt idx="15">
                  <v>1.932432432432432</v>
                </pt>
                <pt idx="16">
                  <v>1.918918918918919</v>
                </pt>
                <pt idx="17">
                  <v>2.810810810810811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1"/>
        </dLbls>
        <gapWidth val="45"/>
        <gapDepth val="150"/>
        <shape val="box"/>
        <axId val="409928416"/>
        <axId val="2134762032"/>
      </bar3DChart>
      <catAx>
        <axId val="40992841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2134762032"/>
        <crosses val="autoZero"/>
        <auto val="1"/>
        <lblAlgn val="ctr"/>
        <lblOffset val="100"/>
        <noMultiLvlLbl val="0"/>
      </catAx>
      <valAx>
        <axId val="2134762032"/>
        <scaling>
          <orientation val="minMax"/>
        </scaling>
        <delete val="0"/>
        <axPos val="l"/>
        <majorGridlines/>
        <numFmt formatCode="0.0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0992841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E8E8E8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500" b="1"/>
            </a:pPr>
            <a:r>
              <a:rPr lang="en-US" sz="1500" b="1"/>
              <a:t>USPESNOST STUDENTOV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bar"/>
        <grouping val="clustered"/>
        <varyColors val="0"/>
        <ser>
          <idx val="0"/>
          <order val="0"/>
          <tx>
            <v>Pocet pokusov</v>
          </tx>
          <spPr>
            <a:solidFill xmlns:a="http://schemas.openxmlformats.org/drawingml/2006/main">
              <a:srgbClr val="F6C7B6"/>
            </a:solidFill>
            <a:ln xmlns:a="http://schemas.openxmlformats.org/drawingml/2006/main">
              <a:solidFill>
                <a:srgbClr val="EF7042"/>
              </a:solidFill>
              <a:prstDash val="solid"/>
            </a:ln>
          </spPr>
          <invertIfNegative val="0"/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Sheet1!$E$33:$E$50</f>
              <numCache>
                <formatCode>0</formatCode>
                <ptCount val="18"/>
                <pt idx="0">
                  <v>12</v>
                </pt>
                <pt idx="1">
                  <v>13</v>
                </pt>
                <pt idx="2">
                  <v>12</v>
                </pt>
                <pt idx="3">
                  <v>14</v>
                </pt>
                <pt idx="4">
                  <v>11</v>
                </pt>
                <pt idx="5">
                  <v>11</v>
                </pt>
                <pt idx="6">
                  <v>12</v>
                </pt>
                <pt idx="7">
                  <v>8</v>
                </pt>
                <pt idx="8">
                  <v>12</v>
                </pt>
                <pt idx="9">
                  <v>10</v>
                </pt>
                <pt idx="10">
                  <v>14</v>
                </pt>
                <pt idx="11">
                  <v>14</v>
                </pt>
                <pt idx="12">
                  <v>10</v>
                </pt>
                <pt idx="13">
                  <v>9</v>
                </pt>
                <pt idx="14">
                  <v>11</v>
                </pt>
                <pt idx="15">
                  <v>14</v>
                </pt>
                <pt idx="16">
                  <v>10</v>
                </pt>
                <pt idx="17">
                  <v>7</v>
                </pt>
              </numCache>
            </numRef>
          </val>
        </ser>
        <ser>
          <idx val="1"/>
          <order val="1"/>
          <tx>
            <v>Priemerna znamka</v>
          </tx>
          <spPr>
            <a:solidFill xmlns:a="http://schemas.openxmlformats.org/drawingml/2006/main">
              <a:srgbClr val="CF5B2A"/>
            </a:solidFill>
            <a:ln xmlns:a="http://schemas.openxmlformats.org/drawingml/2006/main">
              <a:solidFill>
                <a:srgbClr val="97411B"/>
              </a:solidFill>
              <a:prstDash val="solid"/>
            </a:ln>
          </spPr>
          <invertIfNegative val="0"/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Sheet1!$D$33:$D$50</f>
              <numCache>
                <formatCode>0.00</formatCode>
                <ptCount val="18"/>
                <pt idx="0">
                  <v>2.5</v>
                </pt>
                <pt idx="1">
                  <v>2.5</v>
                </pt>
                <pt idx="2">
                  <v>2.083333333333333</v>
                </pt>
                <pt idx="3">
                  <v>2.25</v>
                </pt>
                <pt idx="4">
                  <v>2.666666666666667</v>
                </pt>
                <pt idx="5">
                  <v>2.416666666666667</v>
                </pt>
                <pt idx="6">
                  <v>3.166666666666667</v>
                </pt>
                <pt idx="7">
                  <v>1.75</v>
                </pt>
                <pt idx="8">
                  <v>2</v>
                </pt>
                <pt idx="9">
                  <v>1.666666666666667</v>
                </pt>
                <pt idx="10">
                  <v>2.916666666666667</v>
                </pt>
                <pt idx="11">
                  <v>2.166666666666667</v>
                </pt>
                <pt idx="12">
                  <v>2.25</v>
                </pt>
                <pt idx="13">
                  <v>2.916666666666667</v>
                </pt>
                <pt idx="14">
                  <v>2.916666666666667</v>
                </pt>
                <pt idx="15">
                  <v>1.916666666666667</v>
                </pt>
                <pt idx="16">
                  <v>1.833333333333333</v>
                </pt>
                <pt idx="17">
                  <v>2.833333333333333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gapDepth val="150"/>
        <shape val="box"/>
        <axId val="409927952"/>
        <axId val="431574864"/>
      </bar3DChart>
      <catAx>
        <axId val="409927952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31574864"/>
        <crosses val="autoZero"/>
        <auto val="1"/>
        <lblAlgn val="ctr"/>
        <lblOffset val="100"/>
        <noMultiLvlLbl val="0"/>
      </catAx>
      <valAx>
        <axId val="431574864"/>
        <scaling>
          <orientation val="minMax"/>
        </scaling>
        <delete val="0"/>
        <axPos val="b"/>
        <majorGridlines/>
        <numFmt formatCode="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09927952"/>
        <crosses val="autoZero"/>
        <crossBetween val="between"/>
      </valAx>
    </plotArea>
    <legend>
      <legendPos val="b"/>
      <overlay val="0"/>
    </legend>
    <plotVisOnly val="1"/>
    <dispBlanksAs val="gap"/>
  </chart>
  <spPr>
    <a:solidFill xmlns:a="http://schemas.openxmlformats.org/drawingml/2006/main">
      <a:srgbClr val="E8E8E8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23</col>
      <colOff>14377</colOff>
      <row>31</row>
      <rowOff>28755</rowOff>
    </from>
    <to>
      <col>31</col>
      <colOff>513991</colOff>
      <row>56</row>
      <rowOff>155755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17875</colOff>
      <row>31</row>
      <rowOff>14377</rowOff>
    </from>
    <to>
      <col>22</col>
      <colOff>-1</colOff>
      <row>71</row>
      <rowOff>163423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tudentiTable" displayName="StudentiTable" ref="B5:AA23" headerRowCount="1" totalsRowShown="0">
  <autoFilter ref="B5:AA23"/>
  <tableColumns count="26">
    <tableColumn id="1" name="Meno" dataDxfId="24"/>
    <tableColumn id="2" name="Priezvisko" dataDxfId="23"/>
    <tableColumn id="3" name="Znamka" dataDxfId="22"/>
    <tableColumn id="4" name="Pokusy" dataDxfId="21"/>
    <tableColumn id="5" name="Kredity" dataDxfId="20"/>
    <tableColumn id="6" name="Znamka2" dataDxfId="19"/>
    <tableColumn id="7" name="Pokusy2" dataDxfId="18"/>
    <tableColumn id="8" name="Kredity2" dataDxfId="17"/>
    <tableColumn id="9" name="Znamka3" dataDxfId="16"/>
    <tableColumn id="10" name="Pokusy3" dataDxfId="15"/>
    <tableColumn id="11" name="Kredity3" dataDxfId="14"/>
    <tableColumn id="12" name="Znamka4" dataDxfId="13"/>
    <tableColumn id="13" name="Pokusy4" dataDxfId="12"/>
    <tableColumn id="14" name="Kredity4" dataDxfId="11"/>
    <tableColumn id="15" name="Znamka5" dataDxfId="10"/>
    <tableColumn id="16" name="Pokusy5" dataDxfId="9"/>
    <tableColumn id="17" name="Kredity5" dataDxfId="8"/>
    <tableColumn id="18" name="Znamka6" dataDxfId="7"/>
    <tableColumn id="19" name="Pokusy6" dataDxfId="6"/>
    <tableColumn id="20" name="Kredity6" dataDxfId="5"/>
    <tableColumn id="21" name="Ziskane kredity" dataDxfId="4"/>
    <tableColumn id="22" name="Priemerna znamka" dataDxfId="3"/>
    <tableColumn id="23" name="Priemerny pocet pokusov" dataDxfId="2"/>
    <tableColumn id="24" name="VSP" dataDxfId="1"/>
    <tableColumn id="25" name="Sucet znamok"/>
    <tableColumn id="26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B1:AM142"/>
  <sheetViews>
    <sheetView tabSelected="1" topLeftCell="A6" zoomScale="61" workbookViewId="0">
      <selection activeCell="B30" sqref="B30"/>
    </sheetView>
  </sheetViews>
  <sheetFormatPr baseColWidth="8" defaultRowHeight="14.4"/>
  <cols>
    <col width="29.5546875" customWidth="1" style="72" min="2" max="2"/>
    <col width="13.109375" customWidth="1" style="72" min="3" max="7"/>
    <col width="12.44140625" customWidth="1" style="72" min="8" max="8"/>
    <col width="6.88671875" customWidth="1" style="72" min="9" max="9"/>
    <col width="10.44140625" customWidth="1" style="72" min="10" max="10"/>
    <col width="11.44140625" customWidth="1" style="72" min="11" max="11"/>
    <col width="6.88671875" customWidth="1" style="72" min="12" max="12"/>
    <col width="11.44140625" customWidth="1" style="72" min="13" max="14"/>
    <col width="6.88671875" customWidth="1" style="72" min="15" max="15"/>
    <col width="11.44140625" customWidth="1" style="72" min="16" max="17"/>
    <col width="6.88671875" customWidth="1" style="72" min="18" max="18"/>
    <col width="11.44140625" customWidth="1" style="72" min="19" max="20"/>
    <col width="6.88671875" customWidth="1" style="72" min="21" max="21"/>
    <col width="13.77734375" customWidth="1" style="72" min="22" max="22"/>
    <col width="20.88671875" customWidth="1" style="72" min="23" max="23"/>
    <col width="24" customWidth="1" style="72" min="24" max="24"/>
    <col width="16.5546875" customWidth="1" style="72" min="25" max="25"/>
    <col width="14" customWidth="1" style="72" min="26" max="27"/>
  </cols>
  <sheetData>
    <row r="1" ht="12" customHeight="1" s="72">
      <c r="L1" t="inlineStr">
        <is>
          <t xml:space="preserve"> </t>
        </is>
      </c>
    </row>
    <row r="2" ht="20.7" customHeight="1" s="72">
      <c r="B2" s="78" t="inlineStr">
        <is>
          <t>ULOHA 1, 2, 3</t>
        </is>
      </c>
    </row>
    <row r="3"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57" t="n"/>
      <c r="AC3" s="57" t="n"/>
      <c r="AD3" s="57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</row>
    <row r="4" ht="20.25" customHeight="1" s="72">
      <c r="B4" s="69" t="inlineStr">
        <is>
          <t>Meno</t>
        </is>
      </c>
      <c r="C4" s="69" t="inlineStr">
        <is>
          <t>Priezvisko</t>
        </is>
      </c>
      <c r="D4" s="3" t="inlineStr">
        <is>
          <t>Geodezia</t>
        </is>
      </c>
      <c r="E4" s="3" t="n"/>
      <c r="F4" s="38" t="n">
        <v>6</v>
      </c>
      <c r="G4" s="69" t="inlineStr">
        <is>
          <t>Matematika</t>
        </is>
      </c>
      <c r="H4" s="70" t="n"/>
      <c r="I4" s="39" t="n">
        <v>7</v>
      </c>
      <c r="J4" s="69" t="inlineStr">
        <is>
          <t>Fyzika</t>
        </is>
      </c>
      <c r="K4" s="70" t="n"/>
      <c r="L4" s="39" t="n">
        <v>6</v>
      </c>
      <c r="M4" s="69" t="inlineStr">
        <is>
          <t>Programovanie</t>
        </is>
      </c>
      <c r="N4" s="70" t="n"/>
      <c r="O4" s="38" t="n">
        <v>7</v>
      </c>
      <c r="P4" s="69" t="inlineStr">
        <is>
          <t xml:space="preserve">CAD Systems </t>
        </is>
      </c>
      <c r="Q4" s="70" t="n"/>
      <c r="R4" s="39" t="n">
        <v>6</v>
      </c>
      <c r="S4" s="69" t="inlineStr">
        <is>
          <t>Metody zobrazovania</t>
        </is>
      </c>
      <c r="T4" s="76" t="n"/>
      <c r="U4" s="70" t="n"/>
      <c r="V4" s="4" t="inlineStr">
        <is>
          <t>Ziskane kredity</t>
        </is>
      </c>
      <c r="W4" s="4" t="inlineStr">
        <is>
          <t>Priemerna znamka</t>
        </is>
      </c>
      <c r="X4" s="4" t="inlineStr">
        <is>
          <t>Priemerny pocet pokusov</t>
        </is>
      </c>
      <c r="Y4" s="4" t="inlineStr">
        <is>
          <t>VSP</t>
        </is>
      </c>
      <c r="Z4" s="40" t="inlineStr">
        <is>
          <t>Sucet znamok</t>
        </is>
      </c>
      <c r="AA4" s="40" t="inlineStr">
        <is>
          <t>Pocet pokusov</t>
        </is>
      </c>
    </row>
    <row r="5" ht="49.95" customFormat="1" customHeight="1" s="1">
      <c r="B5" s="9" t="inlineStr">
        <is>
          <t>Meno</t>
        </is>
      </c>
      <c r="C5" s="9" t="inlineStr">
        <is>
          <t>Priezvisko</t>
        </is>
      </c>
      <c r="D5" s="9" t="inlineStr">
        <is>
          <t>Znamka</t>
        </is>
      </c>
      <c r="E5" s="9" t="inlineStr">
        <is>
          <t>Pokusy</t>
        </is>
      </c>
      <c r="F5" s="41" t="inlineStr">
        <is>
          <t>Kredity</t>
        </is>
      </c>
      <c r="G5" s="9" t="inlineStr">
        <is>
          <t>Znamka2</t>
        </is>
      </c>
      <c r="H5" s="9" t="inlineStr">
        <is>
          <t>Pokusy2</t>
        </is>
      </c>
      <c r="I5" s="41" t="inlineStr">
        <is>
          <t>Kredity2</t>
        </is>
      </c>
      <c r="J5" s="9" t="inlineStr">
        <is>
          <t>Znamka3</t>
        </is>
      </c>
      <c r="K5" s="9" t="inlineStr">
        <is>
          <t>Pokusy3</t>
        </is>
      </c>
      <c r="L5" s="41" t="inlineStr">
        <is>
          <t>Kredity3</t>
        </is>
      </c>
      <c r="M5" s="9" t="inlineStr">
        <is>
          <t>Znamka4</t>
        </is>
      </c>
      <c r="N5" s="9" t="inlineStr">
        <is>
          <t>Pokusy4</t>
        </is>
      </c>
      <c r="O5" s="41" t="inlineStr">
        <is>
          <t>Kredity4</t>
        </is>
      </c>
      <c r="P5" s="9" t="inlineStr">
        <is>
          <t>Znamka5</t>
        </is>
      </c>
      <c r="Q5" s="9" t="inlineStr">
        <is>
          <t>Pokusy5</t>
        </is>
      </c>
      <c r="R5" s="41" t="inlineStr">
        <is>
          <t>Kredity5</t>
        </is>
      </c>
      <c r="S5" s="9" t="inlineStr">
        <is>
          <t>Znamka6</t>
        </is>
      </c>
      <c r="T5" s="9" t="inlineStr">
        <is>
          <t>Pokusy6</t>
        </is>
      </c>
      <c r="U5" s="42" t="inlineStr">
        <is>
          <t>Kredity6</t>
        </is>
      </c>
      <c r="V5" s="5" t="inlineStr">
        <is>
          <t>Ziskane kredity</t>
        </is>
      </c>
      <c r="W5" s="5" t="inlineStr">
        <is>
          <t>Priemerna znamka</t>
        </is>
      </c>
      <c r="X5" s="5" t="inlineStr">
        <is>
          <t>Priemerny pocet pokusov</t>
        </is>
      </c>
      <c r="Y5" s="5" t="inlineStr">
        <is>
          <t>VSP</t>
        </is>
      </c>
      <c r="Z5" s="43" t="inlineStr">
        <is>
          <t>Sucet znamok</t>
        </is>
      </c>
      <c r="AA5" s="43" t="inlineStr">
        <is>
          <t>Pocet pokusov</t>
        </is>
      </c>
    </row>
    <row r="6" ht="14.4" customHeight="1" s="72">
      <c r="B6" s="10" t="inlineStr">
        <is>
          <t>Monika</t>
        </is>
      </c>
      <c r="C6" s="10" t="inlineStr">
        <is>
          <t>Koncova</t>
        </is>
      </c>
      <c r="D6" s="12" t="n">
        <v>3</v>
      </c>
      <c r="E6" s="11" t="n">
        <v>1</v>
      </c>
      <c r="F6" s="44" t="n">
        <v>6</v>
      </c>
      <c r="G6" s="12" t="n">
        <v>1</v>
      </c>
      <c r="H6" s="11" t="n">
        <v>1</v>
      </c>
      <c r="I6" s="44" t="n">
        <v>7</v>
      </c>
      <c r="J6" s="12" t="n">
        <v>2</v>
      </c>
      <c r="K6" s="11" t="n">
        <v>3</v>
      </c>
      <c r="L6" s="44" t="n">
        <v>6</v>
      </c>
      <c r="M6" s="12" t="n">
        <v>4</v>
      </c>
      <c r="N6" s="11" t="n">
        <v>2</v>
      </c>
      <c r="O6" s="44" t="n">
        <v>7</v>
      </c>
      <c r="P6" s="12" t="n">
        <v>3</v>
      </c>
      <c r="Q6" s="11" t="n">
        <v>3</v>
      </c>
      <c r="R6" s="44" t="n">
        <v>6</v>
      </c>
      <c r="S6" s="12" t="n">
        <v>2</v>
      </c>
      <c r="T6" s="11" t="n">
        <v>2</v>
      </c>
      <c r="U6" s="45" t="n">
        <v>5</v>
      </c>
      <c r="V6" s="6">
        <f>IF(D6&lt;4,F6,0)+IF(G6&lt;4,I6,0)+IF(J6&lt;4,L6,0)+IF(M6&lt;4,O6,0)+IF(P6&lt;4,R6,0)+IF(S6&lt;4,U6,0)</f>
        <v/>
      </c>
      <c r="W6" s="7">
        <f>AVERAGE(D6,G6,J6,M6,P6,S6)</f>
        <v/>
      </c>
      <c r="X6" s="7">
        <f>AVERAGE(E6,H6,K6,N6,Q6,T6)</f>
        <v/>
      </c>
      <c r="Y6" s="8">
        <f>(D6*F6+G6*I6+J6*L6+M6*O6+P6*R6+S6*U6)/SUM(F6,I6,L6,O6,R6,U6)</f>
        <v/>
      </c>
      <c r="Z6" s="46">
        <f>SUM(D6,G6,J6,M6,P6,S6)</f>
        <v/>
      </c>
      <c r="AA6" s="47">
        <f>SUM(E6,H6,K6,N6,Q6,T6)</f>
        <v/>
      </c>
    </row>
    <row r="7" ht="14.4" customHeight="1" s="72">
      <c r="B7" s="10" t="inlineStr">
        <is>
          <t>Emanuel</t>
        </is>
      </c>
      <c r="C7" s="10" t="inlineStr">
        <is>
          <t>Kovac</t>
        </is>
      </c>
      <c r="D7" s="12" t="n">
        <v>1</v>
      </c>
      <c r="E7" s="11" t="n">
        <v>3</v>
      </c>
      <c r="F7" s="44" t="n">
        <v>6</v>
      </c>
      <c r="G7" s="12" t="n">
        <v>1</v>
      </c>
      <c r="H7" s="11" t="n">
        <v>1</v>
      </c>
      <c r="I7" s="44" t="n">
        <v>7</v>
      </c>
      <c r="J7" s="12" t="n">
        <v>3</v>
      </c>
      <c r="K7" s="11" t="n">
        <v>2</v>
      </c>
      <c r="L7" s="44" t="n">
        <v>6</v>
      </c>
      <c r="M7" s="12" t="n">
        <v>2</v>
      </c>
      <c r="N7" s="11" t="n">
        <v>3</v>
      </c>
      <c r="O7" s="44" t="n">
        <v>7</v>
      </c>
      <c r="P7" s="12" t="n">
        <v>4</v>
      </c>
      <c r="Q7" s="11" t="n">
        <v>3</v>
      </c>
      <c r="R7" s="44" t="n">
        <v>6</v>
      </c>
      <c r="S7" s="12" t="n">
        <v>4</v>
      </c>
      <c r="T7" s="11" t="n">
        <v>1</v>
      </c>
      <c r="U7" s="45" t="n">
        <v>5</v>
      </c>
      <c r="V7" s="6">
        <f>IF(D7&lt;4,F7,0)+IF(G7&lt;4,I7,0)+IF(J7&lt;4,L7,0)+IF(M7&lt;4,O7,0)+IF(P7&lt;4,R7,0)+IF(S7&lt;4,U7,0)</f>
        <v/>
      </c>
      <c r="W7" s="7">
        <f>AVERAGE(D7,G7,J7,M7,P7,S7)</f>
        <v/>
      </c>
      <c r="X7" s="7">
        <f>AVERAGE(E7,H7,K7,N7,Q7,T7)</f>
        <v/>
      </c>
      <c r="Y7" s="8">
        <f>(D7*F7+G7*I7+J7*L7+M7*O7+P7*R7+S7*U7)/SUM(F7,I7,L7,O7,R7,U7)</f>
        <v/>
      </c>
      <c r="Z7" s="46">
        <f>SUM(D7,G7,J7,M7,P7,S7)</f>
        <v/>
      </c>
      <c r="AA7" s="47">
        <f>SUM(E7,H7,K7,N7,Q7,T7)</f>
        <v/>
      </c>
    </row>
    <row r="8" ht="14.4" customHeight="1" s="72">
      <c r="B8" s="10" t="inlineStr">
        <is>
          <t>Marek</t>
        </is>
      </c>
      <c r="C8" s="10" t="inlineStr">
        <is>
          <t>Kovac</t>
        </is>
      </c>
      <c r="D8" s="12" t="n">
        <v>1</v>
      </c>
      <c r="E8" s="11" t="n">
        <v>2</v>
      </c>
      <c r="F8" s="44" t="n">
        <v>6</v>
      </c>
      <c r="G8" s="12" t="n">
        <v>2</v>
      </c>
      <c r="H8" s="11" t="n">
        <v>3</v>
      </c>
      <c r="I8" s="44" t="n">
        <v>7</v>
      </c>
      <c r="J8" s="12" t="n">
        <v>2</v>
      </c>
      <c r="K8" s="11" t="n">
        <v>2</v>
      </c>
      <c r="L8" s="44" t="n">
        <v>6</v>
      </c>
      <c r="M8" s="12" t="n">
        <v>4</v>
      </c>
      <c r="N8" s="11" t="n">
        <v>1</v>
      </c>
      <c r="O8" s="44" t="n">
        <v>7</v>
      </c>
      <c r="P8" s="12" t="n">
        <v>2</v>
      </c>
      <c r="Q8" s="11" t="n">
        <v>1</v>
      </c>
      <c r="R8" s="44" t="n">
        <v>6</v>
      </c>
      <c r="S8" s="12" t="n">
        <v>1.5</v>
      </c>
      <c r="T8" s="11" t="n">
        <v>3</v>
      </c>
      <c r="U8" s="45" t="n">
        <v>5</v>
      </c>
      <c r="V8" s="6">
        <f>IF(D8&lt;4,F8,0)+IF(G8&lt;4,I8,0)+IF(J8&lt;4,L8,0)+IF(M8&lt;4,O8,0)+IF(P8&lt;4,R8,0)+IF(S8&lt;4,U8,0)</f>
        <v/>
      </c>
      <c r="W8" s="7">
        <f>AVERAGE(D8,G8,J8,M8,P8,S8)</f>
        <v/>
      </c>
      <c r="X8" s="7">
        <f>AVERAGE(E8,H8,K8,N8,Q8,T8)</f>
        <v/>
      </c>
      <c r="Y8" s="8">
        <f>(D8*F8+G8*I8+J8*L8+M8*O8+P8*R8+S8*U8)/SUM(F8,I8,L8,O8,R8,U8)</f>
        <v/>
      </c>
      <c r="Z8" s="46">
        <f>SUM(D8,G8,J8,M8,P8,S8)</f>
        <v/>
      </c>
      <c r="AA8" s="47">
        <f>SUM(E8,H8,K8,N8,Q8,T8)</f>
        <v/>
      </c>
    </row>
    <row r="9" ht="14.4" customHeight="1" s="72">
      <c r="B9" s="10" t="inlineStr">
        <is>
          <t>Denisa</t>
        </is>
      </c>
      <c r="C9" s="10" t="inlineStr">
        <is>
          <t>Kovacova</t>
        </is>
      </c>
      <c r="D9" s="12" t="n">
        <v>1.5</v>
      </c>
      <c r="E9" s="11" t="n">
        <v>3</v>
      </c>
      <c r="F9" s="44" t="n">
        <v>6</v>
      </c>
      <c r="G9" s="12" t="n">
        <v>4</v>
      </c>
      <c r="H9" s="11" t="n">
        <v>2</v>
      </c>
      <c r="I9" s="44" t="n">
        <v>7</v>
      </c>
      <c r="J9" s="12" t="n">
        <v>1</v>
      </c>
      <c r="K9" s="11" t="n">
        <v>3</v>
      </c>
      <c r="L9" s="44" t="n">
        <v>6</v>
      </c>
      <c r="M9" s="12" t="n">
        <v>2</v>
      </c>
      <c r="N9" s="11" t="n">
        <v>2</v>
      </c>
      <c r="O9" s="44" t="n">
        <v>7</v>
      </c>
      <c r="P9" s="12" t="n">
        <v>4</v>
      </c>
      <c r="Q9" s="11" t="n">
        <v>2</v>
      </c>
      <c r="R9" s="44" t="n">
        <v>6</v>
      </c>
      <c r="S9" s="12" t="n">
        <v>1</v>
      </c>
      <c r="T9" s="11" t="n">
        <v>2</v>
      </c>
      <c r="U9" s="45" t="n">
        <v>5</v>
      </c>
      <c r="V9" s="6">
        <f>IF(D9&lt;4,F9,0)+IF(G9&lt;4,I9,0)+IF(J9&lt;4,L9,0)+IF(M9&lt;4,O9,0)+IF(P9&lt;4,R9,0)+IF(S9&lt;4,U9,0)</f>
        <v/>
      </c>
      <c r="W9" s="7">
        <f>AVERAGE(D9,G9,J9,M9,P9,S9)</f>
        <v/>
      </c>
      <c r="X9" s="7">
        <f>AVERAGE(E9,H9,K9,N9,Q9,T9)</f>
        <v/>
      </c>
      <c r="Y9" s="8">
        <f>(D9*F9+G9*I9+J9*L9+M9*O9+P9*R9+S9*U9)/SUM(F9,I9,L9,O9,R9,U9)</f>
        <v/>
      </c>
      <c r="Z9" s="46">
        <f>SUM(D9,G9,J9,M9,P9,S9)</f>
        <v/>
      </c>
      <c r="AA9" s="47">
        <f>SUM(E9,H9,K9,N9,Q9,T9)</f>
        <v/>
      </c>
    </row>
    <row r="10" ht="14.4" customHeight="1" s="72">
      <c r="B10" s="10" t="inlineStr">
        <is>
          <t>Anton</t>
        </is>
      </c>
      <c r="C10" s="10" t="inlineStr">
        <is>
          <t>Liso</t>
        </is>
      </c>
      <c r="D10" s="13" t="n">
        <v>2</v>
      </c>
      <c r="E10" s="11" t="n">
        <v>2</v>
      </c>
      <c r="F10" s="44" t="n">
        <v>6</v>
      </c>
      <c r="G10" s="12" t="n">
        <v>1</v>
      </c>
      <c r="H10" s="11" t="n">
        <v>1</v>
      </c>
      <c r="I10" s="44" t="n">
        <v>7</v>
      </c>
      <c r="J10" s="12" t="n">
        <v>3</v>
      </c>
      <c r="K10" s="11" t="n">
        <v>1</v>
      </c>
      <c r="L10" s="44" t="n">
        <v>6</v>
      </c>
      <c r="M10" s="12" t="n">
        <v>4</v>
      </c>
      <c r="N10" s="11" t="n">
        <v>3</v>
      </c>
      <c r="O10" s="44" t="n">
        <v>7</v>
      </c>
      <c r="P10" s="12" t="n">
        <v>2</v>
      </c>
      <c r="Q10" s="11" t="n">
        <v>1</v>
      </c>
      <c r="R10" s="44" t="n">
        <v>6</v>
      </c>
      <c r="S10" s="12" t="n">
        <v>4</v>
      </c>
      <c r="T10" s="11" t="n">
        <v>3</v>
      </c>
      <c r="U10" s="45" t="n">
        <v>5</v>
      </c>
      <c r="V10" s="6">
        <f>IF(D10&lt;4,F10,0)+IF(G10&lt;4,I10,0)+IF(J10&lt;4,L10,0)+IF(M10&lt;4,O10,0)+IF(P10&lt;4,R10,0)+IF(S10&lt;4,U10,0)</f>
        <v/>
      </c>
      <c r="W10" s="7">
        <f>AVERAGE(D10,G10,J10,M10,P10,S10)</f>
        <v/>
      </c>
      <c r="X10" s="7">
        <f>AVERAGE(E10,H10,K10,N10,Q10,T10)</f>
        <v/>
      </c>
      <c r="Y10" s="8">
        <f>(D10*F10+G10*I10+J10*L10+M10*O10+P10*R10+S10*U10)/SUM(F10,I10,L10,O10,R10,U10)</f>
        <v/>
      </c>
      <c r="Z10" s="46">
        <f>SUM(D10,G10,J10,M10,P10,S10)</f>
        <v/>
      </c>
      <c r="AA10" s="47">
        <f>SUM(E10,H10,K10,N10,Q10,T10)</f>
        <v/>
      </c>
    </row>
    <row r="11" ht="14.4" customHeight="1" s="72">
      <c r="B11" s="10" t="inlineStr">
        <is>
          <t>kristina</t>
        </is>
      </c>
      <c r="C11" s="10" t="inlineStr">
        <is>
          <t>Mlynarova</t>
        </is>
      </c>
      <c r="D11" s="12" t="n">
        <v>2</v>
      </c>
      <c r="E11" s="11" t="n">
        <v>1</v>
      </c>
      <c r="F11" s="44" t="n">
        <v>6</v>
      </c>
      <c r="G11" s="12" t="n">
        <v>2</v>
      </c>
      <c r="H11" s="11" t="n">
        <v>3</v>
      </c>
      <c r="I11" s="44" t="n">
        <v>7</v>
      </c>
      <c r="J11" s="12" t="n">
        <v>4</v>
      </c>
      <c r="K11" s="11" t="n">
        <v>2</v>
      </c>
      <c r="L11" s="44" t="n">
        <v>6</v>
      </c>
      <c r="M11" s="12" t="n">
        <v>3</v>
      </c>
      <c r="N11" s="11" t="n">
        <v>3</v>
      </c>
      <c r="O11" s="44" t="n">
        <v>7</v>
      </c>
      <c r="P11" s="12" t="n">
        <v>2</v>
      </c>
      <c r="Q11" s="11" t="n">
        <v>1</v>
      </c>
      <c r="R11" s="44" t="n">
        <v>6</v>
      </c>
      <c r="S11" s="12" t="n">
        <v>1.5</v>
      </c>
      <c r="T11" s="11" t="n">
        <v>1</v>
      </c>
      <c r="U11" s="45" t="n">
        <v>5</v>
      </c>
      <c r="V11" s="6">
        <f>IF(D11&lt;4,F11,0)+IF(G11&lt;4,I11,0)+IF(J11&lt;4,L11,0)+IF(M11&lt;4,O11,0)+IF(P11&lt;4,R11,0)+IF(S11&lt;4,U11,0)</f>
        <v/>
      </c>
      <c r="W11" s="7">
        <f>AVERAGE(D11,G11,J11,M11,P11,S11)</f>
        <v/>
      </c>
      <c r="X11" s="7">
        <f>AVERAGE(E11,H11,K11,N11,Q11,T11)</f>
        <v/>
      </c>
      <c r="Y11" s="8">
        <f>(D11*F11+G11*I11+J11*L11+M11*O11+P11*R11+S11*U11)/SUM(F11,I11,L11,O11,R11,U11)</f>
        <v/>
      </c>
      <c r="Z11" s="46">
        <f>SUM(D11,G11,J11,M11,P11,S11)</f>
        <v/>
      </c>
      <c r="AA11" s="47">
        <f>SUM(E11,H11,K11,N11,Q11,T11)</f>
        <v/>
      </c>
    </row>
    <row r="12" ht="14.4" customHeight="1" s="72">
      <c r="B12" s="10" t="inlineStr">
        <is>
          <t>jana</t>
        </is>
      </c>
      <c r="C12" s="10" t="inlineStr">
        <is>
          <t>Novotna</t>
        </is>
      </c>
      <c r="D12" s="12" t="n">
        <v>4</v>
      </c>
      <c r="E12" s="11" t="n">
        <v>2</v>
      </c>
      <c r="F12" s="44" t="n">
        <v>6</v>
      </c>
      <c r="G12" s="12" t="n">
        <v>3</v>
      </c>
      <c r="H12" s="11" t="n">
        <v>1</v>
      </c>
      <c r="I12" s="44" t="n">
        <v>7</v>
      </c>
      <c r="J12" s="12" t="n">
        <v>3</v>
      </c>
      <c r="K12" s="11" t="n">
        <v>1</v>
      </c>
      <c r="L12" s="44" t="n">
        <v>6</v>
      </c>
      <c r="M12" s="12" t="n">
        <v>2</v>
      </c>
      <c r="N12" s="11" t="n">
        <v>2</v>
      </c>
      <c r="O12" s="44" t="n">
        <v>7</v>
      </c>
      <c r="P12" s="12" t="n">
        <v>4</v>
      </c>
      <c r="Q12" s="11" t="n">
        <v>3</v>
      </c>
      <c r="R12" s="44" t="n">
        <v>6</v>
      </c>
      <c r="S12" s="12" t="n">
        <v>3</v>
      </c>
      <c r="T12" s="11" t="n">
        <v>3</v>
      </c>
      <c r="U12" s="45" t="n">
        <v>5</v>
      </c>
      <c r="V12" s="6">
        <f>IF(D12&lt;4,F12,0)+IF(G12&lt;4,I12,0)+IF(J12&lt;4,L12,0)+IF(M12&lt;4,O12,0)+IF(P12&lt;4,R12,0)+IF(S12&lt;4,U12,0)</f>
        <v/>
      </c>
      <c r="W12" s="7">
        <f>AVERAGE(D12,G12,J12,M12,P12,S12)</f>
        <v/>
      </c>
      <c r="X12" s="7">
        <f>AVERAGE(E12,H12,K12,N12,Q12,T12)</f>
        <v/>
      </c>
      <c r="Y12" s="8">
        <f>(D12*F12+G12*I12+J12*L12+M12*O12+P12*R12+S12*U12)/SUM(F12,I12,L12,O12,R12,U12)</f>
        <v/>
      </c>
      <c r="Z12" s="46">
        <f>SUM(D12,G12,J12,M12,P12,S12)</f>
        <v/>
      </c>
      <c r="AA12" s="47">
        <f>SUM(E12,H12,K12,N12,Q12,T12)</f>
        <v/>
      </c>
    </row>
    <row r="13" ht="14.4" customHeight="1" s="72">
      <c r="B13" s="10" t="inlineStr">
        <is>
          <t>Anton</t>
        </is>
      </c>
      <c r="C13" s="10" t="inlineStr">
        <is>
          <t>Novy</t>
        </is>
      </c>
      <c r="D13" s="12" t="n">
        <v>2</v>
      </c>
      <c r="E13" s="11" t="n">
        <v>2</v>
      </c>
      <c r="F13" s="44" t="n">
        <v>6</v>
      </c>
      <c r="G13" s="12" t="n">
        <v>1.5</v>
      </c>
      <c r="H13" s="11" t="n">
        <v>2</v>
      </c>
      <c r="I13" s="44" t="n">
        <v>7</v>
      </c>
      <c r="J13" s="12" t="n">
        <v>1</v>
      </c>
      <c r="K13" s="11" t="n">
        <v>1</v>
      </c>
      <c r="L13" s="44" t="n">
        <v>6</v>
      </c>
      <c r="M13" s="12" t="n">
        <v>3</v>
      </c>
      <c r="N13" s="11" t="n">
        <v>1</v>
      </c>
      <c r="O13" s="44" t="n">
        <v>7</v>
      </c>
      <c r="P13" s="12" t="n">
        <v>1</v>
      </c>
      <c r="Q13" s="11" t="n">
        <v>1</v>
      </c>
      <c r="R13" s="44" t="n">
        <v>6</v>
      </c>
      <c r="S13" s="12" t="n">
        <v>2</v>
      </c>
      <c r="T13" s="11" t="n">
        <v>1</v>
      </c>
      <c r="U13" s="45" t="n">
        <v>5</v>
      </c>
      <c r="V13" s="6">
        <f>IF(D13&lt;4,F13,0)+IF(G13&lt;4,I13,0)+IF(J13&lt;4,L13,0)+IF(M13&lt;4,O13,0)+IF(P13&lt;4,R13,0)+IF(S13&lt;4,U13,0)</f>
        <v/>
      </c>
      <c r="W13" s="7">
        <f>AVERAGE(D13,G13,J13,M13,P13,S13)</f>
        <v/>
      </c>
      <c r="X13" s="7">
        <f>AVERAGE(E13,H13,K13,N13,Q13,T13)</f>
        <v/>
      </c>
      <c r="Y13" s="8">
        <f>(D13*F13+G13*I13+J13*L13+M13*O13+P13*R13+S13*U13)/SUM(F13,I13,L13,O13,R13,U13)</f>
        <v/>
      </c>
      <c r="Z13" s="46">
        <f>SUM(D13,G13,J13,M13,P13,S13)</f>
        <v/>
      </c>
      <c r="AA13" s="47">
        <f>SUM(E13,H13,K13,N13,Q13,T13)</f>
        <v/>
      </c>
    </row>
    <row r="14" ht="14.4" customHeight="1" s="72">
      <c r="B14" s="10" t="inlineStr">
        <is>
          <t>Miro</t>
        </is>
      </c>
      <c r="C14" s="10" t="inlineStr">
        <is>
          <t>Novy</t>
        </is>
      </c>
      <c r="D14" s="12" t="n">
        <v>2</v>
      </c>
      <c r="E14" s="11" t="n">
        <v>1</v>
      </c>
      <c r="F14" s="44" t="n">
        <v>6</v>
      </c>
      <c r="G14" s="12" t="n">
        <v>3</v>
      </c>
      <c r="H14" s="11" t="n">
        <v>1</v>
      </c>
      <c r="I14" s="44" t="n">
        <v>7</v>
      </c>
      <c r="J14" s="12" t="n">
        <v>1</v>
      </c>
      <c r="K14" s="11" t="n">
        <v>3</v>
      </c>
      <c r="L14" s="44" t="n">
        <v>6</v>
      </c>
      <c r="M14" s="12" t="n">
        <v>1</v>
      </c>
      <c r="N14" s="11" t="n">
        <v>3</v>
      </c>
      <c r="O14" s="44" t="n">
        <v>7</v>
      </c>
      <c r="P14" s="12" t="n">
        <v>3</v>
      </c>
      <c r="Q14" s="11" t="n">
        <v>3</v>
      </c>
      <c r="R14" s="44" t="n">
        <v>6</v>
      </c>
      <c r="S14" s="12" t="n">
        <v>2</v>
      </c>
      <c r="T14" s="11" t="n">
        <v>1</v>
      </c>
      <c r="U14" s="45" t="n">
        <v>5</v>
      </c>
      <c r="V14" s="6">
        <f>IF(D14&lt;4,F14,0)+IF(G14&lt;4,I14,0)+IF(J14&lt;4,L14,0)+IF(M14&lt;4,O14,0)+IF(P14&lt;4,R14,0)+IF(S14&lt;4,U14,0)</f>
        <v/>
      </c>
      <c r="W14" s="7">
        <f>AVERAGE(D14,G14,J14,M14,P14,S14)</f>
        <v/>
      </c>
      <c r="X14" s="7">
        <f>AVERAGE(E14,H14,K14,N14,Q14,T14)</f>
        <v/>
      </c>
      <c r="Y14" s="8">
        <f>(D14*F14+G14*I14+J14*L14+M14*O14+P14*R14+S14*U14)/SUM(F14,I14,L14,O14,R14,U14)</f>
        <v/>
      </c>
      <c r="Z14" s="46">
        <f>SUM(D14,G14,J14,M14,P14,S14)</f>
        <v/>
      </c>
      <c r="AA14" s="47">
        <f>SUM(E14,H14,K14,N14,Q14,T14)</f>
        <v/>
      </c>
    </row>
    <row r="15" ht="14.4" customHeight="1" s="72">
      <c r="B15" s="10" t="inlineStr">
        <is>
          <t>Vanesa</t>
        </is>
      </c>
      <c r="C15" s="10" t="inlineStr">
        <is>
          <t>Papulakova</t>
        </is>
      </c>
      <c r="D15" s="12" t="n">
        <v>1</v>
      </c>
      <c r="E15" s="11" t="n">
        <v>2</v>
      </c>
      <c r="F15" s="44" t="n">
        <v>6</v>
      </c>
      <c r="G15" s="12" t="n">
        <v>2</v>
      </c>
      <c r="H15" s="11" t="n">
        <v>2</v>
      </c>
      <c r="I15" s="44" t="n">
        <v>7</v>
      </c>
      <c r="J15" s="12" t="n">
        <v>3</v>
      </c>
      <c r="K15" s="11" t="n">
        <v>1</v>
      </c>
      <c r="L15" s="44" t="n">
        <v>6</v>
      </c>
      <c r="M15" s="12" t="n">
        <v>1</v>
      </c>
      <c r="N15" s="11" t="n">
        <v>2</v>
      </c>
      <c r="O15" s="44" t="n">
        <v>7</v>
      </c>
      <c r="P15" s="12" t="n">
        <v>2</v>
      </c>
      <c r="Q15" s="11" t="n">
        <v>2</v>
      </c>
      <c r="R15" s="44" t="n">
        <v>6</v>
      </c>
      <c r="S15" s="12" t="n">
        <v>1</v>
      </c>
      <c r="T15" s="11" t="n">
        <v>1</v>
      </c>
      <c r="U15" s="45" t="n">
        <v>5</v>
      </c>
      <c r="V15" s="6">
        <f>IF(D15&lt;4,F15,0)+IF(G15&lt;4,I15,0)+IF(J15&lt;4,L15,0)+IF(M15&lt;4,O15,0)+IF(P15&lt;4,R15,0)+IF(S15&lt;4,U15,0)</f>
        <v/>
      </c>
      <c r="W15" s="7">
        <f>AVERAGE(D15,G15,J15,M15,P15,S15)</f>
        <v/>
      </c>
      <c r="X15" s="7">
        <f>AVERAGE(E15,H15,K15,N15,Q15,T15)</f>
        <v/>
      </c>
      <c r="Y15" s="8">
        <f>(D15*F15+G15*I15+J15*L15+M15*O15+P15*R15+S15*U15)/SUM(F15,I15,L15,O15,R15,U15)</f>
        <v/>
      </c>
      <c r="Z15" s="46">
        <f>SUM(D15,G15,J15,M15,P15,S15)</f>
        <v/>
      </c>
      <c r="AA15" s="47">
        <f>SUM(E15,H15,K15,N15,Q15,T15)</f>
        <v/>
      </c>
    </row>
    <row r="16" ht="14.4" customHeight="1" s="72">
      <c r="B16" s="10" t="inlineStr">
        <is>
          <t>Rasto</t>
        </is>
      </c>
      <c r="C16" s="10" t="inlineStr">
        <is>
          <t>Sisovsky</t>
        </is>
      </c>
      <c r="D16" s="12" t="n">
        <v>2</v>
      </c>
      <c r="E16" s="11" t="n">
        <v>3</v>
      </c>
      <c r="F16" s="44" t="n">
        <v>6</v>
      </c>
      <c r="G16" s="12" t="n">
        <v>2</v>
      </c>
      <c r="H16" s="11" t="n">
        <v>2</v>
      </c>
      <c r="I16" s="44" t="n">
        <v>7</v>
      </c>
      <c r="J16" s="12" t="n">
        <v>4</v>
      </c>
      <c r="K16" s="11" t="n">
        <v>3</v>
      </c>
      <c r="L16" s="44" t="n">
        <v>6</v>
      </c>
      <c r="M16" s="12" t="n">
        <v>4</v>
      </c>
      <c r="N16" s="11" t="n">
        <v>2</v>
      </c>
      <c r="O16" s="44" t="n">
        <v>7</v>
      </c>
      <c r="P16" s="12" t="n">
        <v>2</v>
      </c>
      <c r="Q16" s="11" t="n">
        <v>1</v>
      </c>
      <c r="R16" s="44" t="n">
        <v>6</v>
      </c>
      <c r="S16" s="12" t="n">
        <v>3.5</v>
      </c>
      <c r="T16" s="11" t="n">
        <v>3</v>
      </c>
      <c r="U16" s="45" t="n">
        <v>5</v>
      </c>
      <c r="V16" s="6">
        <f>IF(D16&lt;4,F16,0)+IF(G16&lt;4,I16,0)+IF(J16&lt;4,L16,0)+IF(M16&lt;4,O16,0)+IF(P16&lt;4,R16,0)+IF(S16&lt;4,U16,0)</f>
        <v/>
      </c>
      <c r="W16" s="7">
        <f>AVERAGE(D16,G16,J16,M16,P16,S16)</f>
        <v/>
      </c>
      <c r="X16" s="7">
        <f>AVERAGE(E16,H16,K16,N16,Q16,T16)</f>
        <v/>
      </c>
      <c r="Y16" s="8">
        <f>(D16*F16+G16*I16+J16*L16+M16*O16+P16*R16+S16*U16)/SUM(F16,I16,L16,O16,R16,U16)</f>
        <v/>
      </c>
      <c r="Z16" s="46">
        <f>SUM(D16,G16,J16,M16,P16,S16)</f>
        <v/>
      </c>
      <c r="AA16" s="47">
        <f>SUM(E16,H16,K16,N16,Q16,T16)</f>
        <v/>
      </c>
    </row>
    <row r="17" ht="14.4" customHeight="1" s="72">
      <c r="B17" s="10" t="inlineStr">
        <is>
          <t>Paula</t>
        </is>
      </c>
      <c r="C17" s="10" t="inlineStr">
        <is>
          <t>Smutna</t>
        </is>
      </c>
      <c r="D17" s="12" t="n">
        <v>2</v>
      </c>
      <c r="E17" s="11" t="n">
        <v>2</v>
      </c>
      <c r="F17" s="44" t="n">
        <v>6</v>
      </c>
      <c r="G17" s="12" t="n">
        <v>2</v>
      </c>
      <c r="H17" s="11" t="n">
        <v>3</v>
      </c>
      <c r="I17" s="44" t="n">
        <v>7</v>
      </c>
      <c r="J17" s="12" t="n">
        <v>2</v>
      </c>
      <c r="K17" s="11" t="n">
        <v>2</v>
      </c>
      <c r="L17" s="44" t="n">
        <v>6</v>
      </c>
      <c r="M17" s="12" t="n">
        <v>4</v>
      </c>
      <c r="N17" s="11" t="n">
        <v>2</v>
      </c>
      <c r="O17" s="44" t="n">
        <v>7</v>
      </c>
      <c r="P17" s="12" t="n">
        <v>2</v>
      </c>
      <c r="Q17" s="11" t="n">
        <v>2</v>
      </c>
      <c r="R17" s="44" t="n">
        <v>6</v>
      </c>
      <c r="S17" s="12" t="n">
        <v>1</v>
      </c>
      <c r="T17" s="11" t="n">
        <v>3</v>
      </c>
      <c r="U17" s="45" t="n">
        <v>5</v>
      </c>
      <c r="V17" s="6">
        <f>IF(D17&lt;4,F17,0)+IF(G17&lt;4,I17,0)+IF(J17&lt;4,L17,0)+IF(M17&lt;4,O17,0)+IF(P17&lt;4,R17,0)+IF(S17&lt;4,U17,0)</f>
        <v/>
      </c>
      <c r="W17" s="7">
        <f>AVERAGE(D17,G17,J17,M17,P17,S17)</f>
        <v/>
      </c>
      <c r="X17" s="7">
        <f>AVERAGE(E17,H17,K17,N17,Q17,T17)</f>
        <v/>
      </c>
      <c r="Y17" s="8">
        <f>(D17*F17+G17*I17+J17*L17+M17*O17+P17*R17+S17*U17)/SUM(F17,I17,L17,O17,R17,U17)</f>
        <v/>
      </c>
      <c r="Z17" s="46">
        <f>SUM(D17,G17,J17,M17,P17,S17)</f>
        <v/>
      </c>
      <c r="AA17" s="47">
        <f>SUM(E17,H17,K17,N17,Q17,T17)</f>
        <v/>
      </c>
    </row>
    <row r="18" ht="14.4" customHeight="1" s="72">
      <c r="B18" s="10" t="inlineStr">
        <is>
          <t>Marian</t>
        </is>
      </c>
      <c r="C18" s="10" t="inlineStr">
        <is>
          <t>Smutny</t>
        </is>
      </c>
      <c r="D18" s="12" t="n">
        <v>2</v>
      </c>
      <c r="E18" s="11" t="n">
        <v>1</v>
      </c>
      <c r="F18" s="44" t="n">
        <v>6</v>
      </c>
      <c r="G18" s="12" t="n">
        <v>1</v>
      </c>
      <c r="H18" s="11" t="n">
        <v>2</v>
      </c>
      <c r="I18" s="44" t="n">
        <v>7</v>
      </c>
      <c r="J18" s="12" t="n">
        <v>2</v>
      </c>
      <c r="K18" s="11" t="n">
        <v>1</v>
      </c>
      <c r="L18" s="44" t="n">
        <v>6</v>
      </c>
      <c r="M18" s="12" t="n">
        <v>1.5</v>
      </c>
      <c r="N18" s="11" t="n">
        <v>2</v>
      </c>
      <c r="O18" s="44" t="n">
        <v>7</v>
      </c>
      <c r="P18" s="12" t="n">
        <v>4</v>
      </c>
      <c r="Q18" s="11" t="n">
        <v>2</v>
      </c>
      <c r="R18" s="44" t="n">
        <v>6</v>
      </c>
      <c r="S18" s="12" t="n">
        <v>3</v>
      </c>
      <c r="T18" s="11" t="n">
        <v>2</v>
      </c>
      <c r="U18" s="45" t="n">
        <v>5</v>
      </c>
      <c r="V18" s="6">
        <f>IF(D18&lt;4,F18,0)+IF(G18&lt;4,I18,0)+IF(J18&lt;4,L18,0)+IF(M18&lt;4,O18,0)+IF(P18&lt;4,R18,0)+IF(S18&lt;4,U18,0)</f>
        <v/>
      </c>
      <c r="W18" s="7">
        <f>AVERAGE(D18,G18,J18,M18,P18,S18)</f>
        <v/>
      </c>
      <c r="X18" s="7">
        <f>AVERAGE(E18,H18,K18,N18,Q18,T18)</f>
        <v/>
      </c>
      <c r="Y18" s="8">
        <f>(D18*F18+G18*I18+J18*L18+M18*O18+P18*R18+S18*U18)/SUM(F18,I18,L18,O18,R18,U18)</f>
        <v/>
      </c>
      <c r="Z18" s="46">
        <f>SUM(D18,G18,J18,M18,P18,S18)</f>
        <v/>
      </c>
      <c r="AA18" s="47">
        <f>SUM(E18,H18,K18,N18,Q18,T18)</f>
        <v/>
      </c>
    </row>
    <row r="19" ht="14.4" customHeight="1" s="72">
      <c r="B19" s="10" t="inlineStr">
        <is>
          <t>David</t>
        </is>
      </c>
      <c r="C19" s="10" t="inlineStr">
        <is>
          <t>Vesely</t>
        </is>
      </c>
      <c r="D19" s="12" t="n">
        <v>3</v>
      </c>
      <c r="E19" s="11" t="n">
        <v>1</v>
      </c>
      <c r="F19" s="44" t="n">
        <v>6</v>
      </c>
      <c r="G19" s="12" t="n">
        <v>2</v>
      </c>
      <c r="H19" s="11" t="n">
        <v>3</v>
      </c>
      <c r="I19" s="44" t="n">
        <v>7</v>
      </c>
      <c r="J19" s="12" t="n">
        <v>4</v>
      </c>
      <c r="K19" s="11" t="n">
        <v>1</v>
      </c>
      <c r="L19" s="44" t="n">
        <v>6</v>
      </c>
      <c r="M19" s="12" t="n">
        <v>1.5</v>
      </c>
      <c r="N19" s="11" t="n">
        <v>1</v>
      </c>
      <c r="O19" s="44" t="n">
        <v>7</v>
      </c>
      <c r="P19" s="12" t="n">
        <v>4</v>
      </c>
      <c r="Q19" s="11" t="n">
        <v>1</v>
      </c>
      <c r="R19" s="44" t="n">
        <v>6</v>
      </c>
      <c r="S19" s="12" t="n">
        <v>3</v>
      </c>
      <c r="T19" s="11" t="n">
        <v>2</v>
      </c>
      <c r="U19" s="45" t="n">
        <v>5</v>
      </c>
      <c r="V19" s="6">
        <f>IF(D19&lt;4,F19,0)+IF(G19&lt;4,I19,0)+IF(J19&lt;4,L19,0)+IF(M19&lt;4,O19,0)+IF(P19&lt;4,R19,0)+IF(S19&lt;4,U19,0)</f>
        <v/>
      </c>
      <c r="W19" s="7">
        <f>AVERAGE(D19,G19,J19,M19,P19,S19)</f>
        <v/>
      </c>
      <c r="X19" s="7">
        <f>AVERAGE(E19,H19,K19,N19,Q19,T19)</f>
        <v/>
      </c>
      <c r="Y19" s="8">
        <f>(D19*F19+G19*I19+J19*L19+M19*O19+P19*R19+S19*U19)/SUM(F19,I19,L19,O19,R19,U19)</f>
        <v/>
      </c>
      <c r="Z19" s="46">
        <f>SUM(D19,G19,J19,M19,P19,S19)</f>
        <v/>
      </c>
      <c r="AA19" s="47">
        <f>SUM(E19,H19,K19,N19,Q19,T19)</f>
        <v/>
      </c>
    </row>
    <row r="20" ht="14.4" customHeight="1" s="72">
      <c r="B20" s="10" t="inlineStr">
        <is>
          <t>Denis</t>
        </is>
      </c>
      <c r="C20" s="10" t="inlineStr">
        <is>
          <t>Vesely</t>
        </is>
      </c>
      <c r="D20" s="12" t="n">
        <v>3</v>
      </c>
      <c r="E20" s="11" t="n">
        <v>1</v>
      </c>
      <c r="F20" s="44" t="n">
        <v>6</v>
      </c>
      <c r="G20" s="12" t="n">
        <v>4</v>
      </c>
      <c r="H20" s="11" t="n">
        <v>2</v>
      </c>
      <c r="I20" s="44" t="n">
        <v>7</v>
      </c>
      <c r="J20" s="12" t="n">
        <v>4</v>
      </c>
      <c r="K20" s="11" t="n">
        <v>4</v>
      </c>
      <c r="L20" s="44" t="n">
        <v>6</v>
      </c>
      <c r="M20" s="12" t="n">
        <v>1</v>
      </c>
      <c r="N20" s="11" t="n">
        <v>1</v>
      </c>
      <c r="O20" s="44" t="n">
        <v>7</v>
      </c>
      <c r="P20" s="12" t="n">
        <v>1.5</v>
      </c>
      <c r="Q20" s="11" t="n">
        <v>1</v>
      </c>
      <c r="R20" s="44" t="n">
        <v>6</v>
      </c>
      <c r="S20" s="12" t="n">
        <v>4</v>
      </c>
      <c r="T20" s="11" t="n">
        <v>2</v>
      </c>
      <c r="U20" s="45" t="n">
        <v>5</v>
      </c>
      <c r="V20" s="6">
        <f>IF(D20&lt;4,F20,0)+IF(G20&lt;4,I20,0)+IF(J20&lt;4,L20,0)+IF(M20&lt;4,O20,0)+IF(P20&lt;4,R20,0)+IF(S20&lt;4,U20,0)</f>
        <v/>
      </c>
      <c r="W20" s="7">
        <f>AVERAGE(D20,G20,J20,M20,P20,S20)</f>
        <v/>
      </c>
      <c r="X20" s="7">
        <f>AVERAGE(E20,H20,K20,N20,Q20,T20)</f>
        <v/>
      </c>
      <c r="Y20" s="8">
        <f>(D20*F20+G20*I20+J20*L20+M20*O20+P20*R20+S20*U20)/SUM(F20,I20,L20,O20,R20,U20)</f>
        <v/>
      </c>
      <c r="Z20" s="46">
        <f>SUM(D20,G20,J20,M20,P20,S20)</f>
        <v/>
      </c>
      <c r="AA20" s="47">
        <f>SUM(E20,H20,K20,N20,Q20,T20)</f>
        <v/>
      </c>
    </row>
    <row r="21" ht="14.4" customHeight="1" s="72">
      <c r="B21" s="10" t="inlineStr">
        <is>
          <t>Oliver</t>
        </is>
      </c>
      <c r="C21" s="10" t="inlineStr">
        <is>
          <t>Ziacik</t>
        </is>
      </c>
      <c r="D21" s="12" t="n">
        <v>3</v>
      </c>
      <c r="E21" s="11" t="n">
        <v>1</v>
      </c>
      <c r="F21" s="44" t="n">
        <v>6</v>
      </c>
      <c r="G21" s="12" t="n">
        <v>2</v>
      </c>
      <c r="H21" s="11" t="n">
        <v>3</v>
      </c>
      <c r="I21" s="44" t="n">
        <v>7</v>
      </c>
      <c r="J21" s="12" t="n">
        <v>1</v>
      </c>
      <c r="K21" s="11" t="n">
        <v>2</v>
      </c>
      <c r="L21" s="44" t="n">
        <v>6</v>
      </c>
      <c r="M21" s="12" t="n">
        <v>1.5</v>
      </c>
      <c r="N21" s="11" t="n">
        <v>3</v>
      </c>
      <c r="O21" s="44" t="n">
        <v>7</v>
      </c>
      <c r="P21" s="12" t="n">
        <v>3</v>
      </c>
      <c r="Q21" s="11" t="n">
        <v>2</v>
      </c>
      <c r="R21" s="44" t="n">
        <v>6</v>
      </c>
      <c r="S21" s="12" t="n">
        <v>1</v>
      </c>
      <c r="T21" s="11" t="n">
        <v>3</v>
      </c>
      <c r="U21" s="45" t="n">
        <v>5</v>
      </c>
      <c r="V21" s="6">
        <f>IF(D21&lt;4,F21,0)+IF(G21&lt;4,I21,0)+IF(J21&lt;4,L21,0)+IF(M21&lt;4,O21,0)+IF(P21&lt;4,R21,0)+IF(S21&lt;4,U21,0)</f>
        <v/>
      </c>
      <c r="W21" s="7">
        <f>AVERAGE(D21,G21,J21,M21,P21,S21)</f>
        <v/>
      </c>
      <c r="X21" s="7">
        <f>AVERAGE(E21,H21,K21,N21,Q21,T21)</f>
        <v/>
      </c>
      <c r="Y21" s="8">
        <f>(D21*F21+G21*I21+J21*L21+M21*O21+P21*R21+S21*U21)/SUM(F21,I21,L21,O21,R21,U21)</f>
        <v/>
      </c>
      <c r="Z21" s="46">
        <f>SUM(D21,G21,J21,M21,P21,S21)</f>
        <v/>
      </c>
      <c r="AA21" s="47">
        <f>SUM(E21,H21,K21,N21,Q21,T21)</f>
        <v/>
      </c>
    </row>
    <row r="22" ht="14.4" customHeight="1" s="72">
      <c r="B22" s="10" t="inlineStr">
        <is>
          <t>Marianna</t>
        </is>
      </c>
      <c r="C22" s="10" t="inlineStr">
        <is>
          <t>Ziacikova</t>
        </is>
      </c>
      <c r="D22" s="12" t="n">
        <v>1</v>
      </c>
      <c r="E22" s="11" t="n">
        <v>3</v>
      </c>
      <c r="F22" s="44" t="n">
        <v>6</v>
      </c>
      <c r="G22" s="12" t="n">
        <v>2</v>
      </c>
      <c r="H22" s="11" t="n">
        <v>1</v>
      </c>
      <c r="I22" s="44" t="n">
        <v>7</v>
      </c>
      <c r="J22" s="12" t="n">
        <v>2</v>
      </c>
      <c r="K22" s="11" t="n">
        <v>2</v>
      </c>
      <c r="L22" s="44" t="n">
        <v>6</v>
      </c>
      <c r="M22" s="12" t="n">
        <v>4</v>
      </c>
      <c r="N22" s="11" t="n">
        <v>1</v>
      </c>
      <c r="O22" s="44" t="n">
        <v>7</v>
      </c>
      <c r="P22" s="12" t="n">
        <v>1</v>
      </c>
      <c r="Q22" s="11" t="n">
        <v>2</v>
      </c>
      <c r="R22" s="44" t="n">
        <v>6</v>
      </c>
      <c r="S22" s="12" t="n">
        <v>1</v>
      </c>
      <c r="T22" s="11" t="n">
        <v>1</v>
      </c>
      <c r="U22" s="45" t="n">
        <v>5</v>
      </c>
      <c r="V22" s="6">
        <f>IF(D22&lt;4,F22,0)+IF(G22&lt;4,I22,0)+IF(J22&lt;4,L22,0)+IF(M22&lt;4,O22,0)+IF(P22&lt;4,R22,0)+IF(S22&lt;4,U22,0)</f>
        <v/>
      </c>
      <c r="W22" s="7">
        <f>AVERAGE(D22,G22,J22,M22,P22,S22)</f>
        <v/>
      </c>
      <c r="X22" s="7">
        <f>AVERAGE(E22,H22,K22,N22,Q22,T22)</f>
        <v/>
      </c>
      <c r="Y22" s="8">
        <f>(D22*F22+G22*I22+J22*L22+M22*O22+P22*R22+S22*U22)/SUM(F22,I22,L22,O22,R22,U22)</f>
        <v/>
      </c>
      <c r="Z22" s="46">
        <f>SUM(D22,G22,J22,M22,P22,S22)</f>
        <v/>
      </c>
      <c r="AA22" s="47">
        <f>SUM(E22,H22,K22,N22,Q22,T22)</f>
        <v/>
      </c>
    </row>
    <row r="23" ht="14.4" customHeight="1" s="72">
      <c r="B23" s="10" t="inlineStr">
        <is>
          <t>Patricia</t>
        </is>
      </c>
      <c r="C23" s="10" t="inlineStr">
        <is>
          <t>Zuffova</t>
        </is>
      </c>
      <c r="D23" s="12" t="n">
        <v>2</v>
      </c>
      <c r="E23" s="11" t="n">
        <v>1</v>
      </c>
      <c r="F23" s="44" t="n">
        <v>6</v>
      </c>
      <c r="G23" s="12" t="n">
        <v>4</v>
      </c>
      <c r="H23" s="11" t="n">
        <v>2</v>
      </c>
      <c r="I23" s="44" t="n">
        <v>7</v>
      </c>
      <c r="J23" s="12" t="n">
        <v>1</v>
      </c>
      <c r="K23" s="11" t="n">
        <v>1</v>
      </c>
      <c r="L23" s="44" t="n">
        <v>6</v>
      </c>
      <c r="M23" s="12" t="n">
        <v>2</v>
      </c>
      <c r="N23" s="11" t="n">
        <v>1</v>
      </c>
      <c r="O23" s="44" t="n">
        <v>7</v>
      </c>
      <c r="P23" s="12" t="n">
        <v>4</v>
      </c>
      <c r="Q23" s="11" t="n">
        <v>1</v>
      </c>
      <c r="R23" s="44" t="n">
        <v>6</v>
      </c>
      <c r="S23" s="12" t="n">
        <v>4</v>
      </c>
      <c r="T23" s="11" t="n">
        <v>1</v>
      </c>
      <c r="U23" s="45" t="n">
        <v>5</v>
      </c>
      <c r="V23" s="6">
        <f>IF(D23&lt;4,F23,0)+IF(G23&lt;4,I23,0)+IF(J23&lt;4,L23,0)+IF(M23&lt;4,O23,0)+IF(P23&lt;4,R23,0)+IF(S23&lt;4,U23,0)</f>
        <v/>
      </c>
      <c r="W23" s="7">
        <f>AVERAGE(D23,G23,J23,M23,P23,S23)</f>
        <v/>
      </c>
      <c r="X23" s="7">
        <f>AVERAGE(E23,H23,K23,N23,Q23,T23)</f>
        <v/>
      </c>
      <c r="Y23" s="8">
        <f>(D23*F23+G23*I23+J23*L23+M23*O23+P23*R23+S23*U23)/SUM(F23,I23,L23,O23,R23,U23)</f>
        <v/>
      </c>
      <c r="Z23" s="46">
        <f>SUM(D23,G23,J23,M23,P23,S23)</f>
        <v/>
      </c>
      <c r="AA23" s="47">
        <f>SUM(E23,H23,K23,N23,Q23,T23)</f>
        <v/>
      </c>
    </row>
    <row r="24" ht="15" customHeight="1" s="72" thickBot="1">
      <c r="B24" s="58" t="inlineStr">
        <is>
          <t>ULOHA 3b, 3c - vypocty pre predmety a priemerny VSP kruzku</t>
        </is>
      </c>
    </row>
    <row r="25" ht="15" customHeight="1" s="72" thickBot="1">
      <c r="B25" s="27" t="inlineStr">
        <is>
          <t>Ukazovatel</t>
        </is>
      </c>
      <c r="C25" s="28" t="inlineStr">
        <is>
          <t>Geodezia</t>
        </is>
      </c>
      <c r="D25" s="28" t="inlineStr">
        <is>
          <t>Matematika</t>
        </is>
      </c>
      <c r="E25" s="28" t="inlineStr">
        <is>
          <t>Fyzika</t>
        </is>
      </c>
      <c r="F25" s="28" t="inlineStr">
        <is>
          <t>Programovanie</t>
        </is>
      </c>
      <c r="G25" s="28" t="inlineStr">
        <is>
          <t>CAD Systems</t>
        </is>
      </c>
      <c r="H25" s="71" t="inlineStr">
        <is>
          <t>Metody zobrazovania</t>
        </is>
      </c>
    </row>
    <row r="26" ht="15" customHeight="1" s="72" thickBot="1">
      <c r="B26" s="30" t="inlineStr">
        <is>
          <t>Priemerna znamka</t>
        </is>
      </c>
      <c r="C26" s="29">
        <f>AVERAGE(D6:D23)</f>
        <v/>
      </c>
      <c r="D26" s="26">
        <f>AVERAGE(G6:G23)</f>
        <v/>
      </c>
      <c r="E26" s="26">
        <f>AVERAGE(J6:J23)</f>
        <v/>
      </c>
      <c r="F26" s="26">
        <f>AVERAGE(M6:M23)</f>
        <v/>
      </c>
      <c r="G26" s="26">
        <f>AVERAGE(P6:P23)</f>
        <v/>
      </c>
      <c r="H26" s="80">
        <f>AVERAGE(S6:S23)</f>
        <v/>
      </c>
    </row>
    <row r="27" ht="15" customHeight="1" s="72" thickBot="1">
      <c r="B27" s="30" t="inlineStr">
        <is>
          <t>Priemerny pocet pokusov</t>
        </is>
      </c>
      <c r="C27" s="31">
        <f>AVERAGE(E6:E23)</f>
        <v/>
      </c>
      <c r="D27" s="25">
        <f>AVERAGE(H6:H23)</f>
        <v/>
      </c>
      <c r="E27" s="25">
        <f>AVERAGE(K6:K23)</f>
        <v/>
      </c>
      <c r="F27" s="25">
        <f>AVERAGE(N6:N23)</f>
        <v/>
      </c>
      <c r="G27" s="25">
        <f>AVERAGE(Q6:Q23)</f>
        <v/>
      </c>
      <c r="H27" s="80">
        <f>AVERAGE(T6:T23)</f>
        <v/>
      </c>
    </row>
    <row r="28" ht="15" customHeight="1" s="72" thickBot="1"/>
    <row r="29" ht="15" customHeight="1" s="72" thickBot="1">
      <c r="B29" s="14" t="inlineStr">
        <is>
          <t>Priemerny VSP celeho kruzku</t>
        </is>
      </c>
      <c r="C29" s="24">
        <f>AVERAGE(Y6:Y23)</f>
        <v/>
      </c>
    </row>
    <row r="30">
      <c r="B30" s="58" t="inlineStr">
        <is>
          <t>ULOHA 4 - upravy: zarovnanie, kredity otocene o 90°, zoradenie podla abecedy, podm. formatovanie VSP &lt; 2</t>
        </is>
      </c>
    </row>
    <row r="31">
      <c r="B31" s="58" t="inlineStr">
        <is>
          <t>ULOHA 5 - grafy (podklady v tabulke, grafy vpravo)</t>
        </is>
      </c>
    </row>
    <row r="32" ht="15" customHeight="1" s="72" thickBot="1">
      <c r="B32" s="15" t="inlineStr">
        <is>
          <t>Student</t>
        </is>
      </c>
      <c r="C32" s="15" t="inlineStr">
        <is>
          <t>VSP</t>
        </is>
      </c>
      <c r="D32" s="15" t="inlineStr">
        <is>
          <t>Priemerna znamka</t>
        </is>
      </c>
      <c r="E32" s="15" t="inlineStr">
        <is>
          <t>Pocet pokusov</t>
        </is>
      </c>
    </row>
    <row r="33">
      <c r="B33" s="35">
        <f>C6&amp;" "&amp;B6</f>
        <v/>
      </c>
      <c r="C33" s="34">
        <f>Y6</f>
        <v/>
      </c>
      <c r="D33" s="32">
        <f>W6</f>
        <v/>
      </c>
      <c r="E33" s="33">
        <f>SUM(E6,H6,K6,N6,Q6,T6)</f>
        <v/>
      </c>
    </row>
    <row r="34">
      <c r="B34" s="36">
        <f>C7&amp;" "&amp;B7</f>
        <v/>
      </c>
      <c r="C34" s="34">
        <f>Y7</f>
        <v/>
      </c>
      <c r="D34" s="32">
        <f>W7</f>
        <v/>
      </c>
      <c r="E34" s="33">
        <f>SUM(E7,H7,K7,N7,Q7,T7)</f>
        <v/>
      </c>
    </row>
    <row r="35">
      <c r="B35" s="36">
        <f>C8&amp;" "&amp;B8</f>
        <v/>
      </c>
      <c r="C35" s="34">
        <f>Y8</f>
        <v/>
      </c>
      <c r="D35" s="32">
        <f>W8</f>
        <v/>
      </c>
      <c r="E35" s="33">
        <f>SUM(E8,H8,K8,N8,Q8,T8)</f>
        <v/>
      </c>
    </row>
    <row r="36">
      <c r="B36" s="36">
        <f>C9&amp;" "&amp;B9</f>
        <v/>
      </c>
      <c r="C36" s="34">
        <f>Y9</f>
        <v/>
      </c>
      <c r="D36" s="32">
        <f>W9</f>
        <v/>
      </c>
      <c r="E36" s="33">
        <f>SUM(E9,H9,K9,N9,Q9,T9)</f>
        <v/>
      </c>
    </row>
    <row r="37">
      <c r="B37" s="36">
        <f>C10&amp;" "&amp;B10</f>
        <v/>
      </c>
      <c r="C37" s="34">
        <f>Y10</f>
        <v/>
      </c>
      <c r="D37" s="32">
        <f>W10</f>
        <v/>
      </c>
      <c r="E37" s="33">
        <f>SUM(E10,H10,K10,N10,Q10,T10)</f>
        <v/>
      </c>
    </row>
    <row r="38">
      <c r="B38" s="36">
        <f>C11&amp;" "&amp;B11</f>
        <v/>
      </c>
      <c r="C38" s="34">
        <f>Y11</f>
        <v/>
      </c>
      <c r="D38" s="32">
        <f>W11</f>
        <v/>
      </c>
      <c r="E38" s="33">
        <f>SUM(E11,H11,K11,N11,Q11,T11)</f>
        <v/>
      </c>
    </row>
    <row r="39">
      <c r="B39" s="36">
        <f>C12&amp;" "&amp;B12</f>
        <v/>
      </c>
      <c r="C39" s="34">
        <f>Y12</f>
        <v/>
      </c>
      <c r="D39" s="32">
        <f>W12</f>
        <v/>
      </c>
      <c r="E39" s="33">
        <f>SUM(E12,H12,K12,N12,Q12,T12)</f>
        <v/>
      </c>
    </row>
    <row r="40">
      <c r="B40" s="36">
        <f>C13&amp;" "&amp;B13</f>
        <v/>
      </c>
      <c r="C40" s="34">
        <f>Y13</f>
        <v/>
      </c>
      <c r="D40" s="32">
        <f>W13</f>
        <v/>
      </c>
      <c r="E40" s="33">
        <f>SUM(E13,H13,K13,N13,Q13,T13)</f>
        <v/>
      </c>
    </row>
    <row r="41">
      <c r="B41" s="36">
        <f>C14&amp;" "&amp;B14</f>
        <v/>
      </c>
      <c r="C41" s="34">
        <f>Y14</f>
        <v/>
      </c>
      <c r="D41" s="32">
        <f>W14</f>
        <v/>
      </c>
      <c r="E41" s="33">
        <f>SUM(E14,H14,K14,N14,Q14,T14)</f>
        <v/>
      </c>
    </row>
    <row r="42">
      <c r="B42" s="36">
        <f>C15&amp;" "&amp;B15</f>
        <v/>
      </c>
      <c r="C42" s="34">
        <f>Y15</f>
        <v/>
      </c>
      <c r="D42" s="32">
        <f>W15</f>
        <v/>
      </c>
      <c r="E42" s="33">
        <f>SUM(E15,H15,K15,N15,Q15,T15)</f>
        <v/>
      </c>
    </row>
    <row r="43">
      <c r="B43" s="36">
        <f>C16&amp;" "&amp;B16</f>
        <v/>
      </c>
      <c r="C43" s="34">
        <f>Y16</f>
        <v/>
      </c>
      <c r="D43" s="32">
        <f>W16</f>
        <v/>
      </c>
      <c r="E43" s="33">
        <f>SUM(E16,H16,K16,N16,Q16,T16)</f>
        <v/>
      </c>
    </row>
    <row r="44">
      <c r="B44" s="36">
        <f>C17&amp;" "&amp;B17</f>
        <v/>
      </c>
      <c r="C44" s="34">
        <f>Y17</f>
        <v/>
      </c>
      <c r="D44" s="32">
        <f>W17</f>
        <v/>
      </c>
      <c r="E44" s="33">
        <f>SUM(E17,H17,K17,N17,Q17,T17)</f>
        <v/>
      </c>
    </row>
    <row r="45">
      <c r="B45" s="36">
        <f>C18&amp;" "&amp;B18</f>
        <v/>
      </c>
      <c r="C45" s="34">
        <f>Y18</f>
        <v/>
      </c>
      <c r="D45" s="32">
        <f>W18</f>
        <v/>
      </c>
      <c r="E45" s="33">
        <f>SUM(E18,H18,K18,N18,Q18,T18)</f>
        <v/>
      </c>
    </row>
    <row r="46">
      <c r="B46" s="36">
        <f>C19&amp;" "&amp;B19</f>
        <v/>
      </c>
      <c r="C46" s="34">
        <f>Y19</f>
        <v/>
      </c>
      <c r="D46" s="32">
        <f>W19</f>
        <v/>
      </c>
      <c r="E46" s="33">
        <f>SUM(E19,H19,K19,N19,Q19,T19)</f>
        <v/>
      </c>
    </row>
    <row r="47">
      <c r="B47" s="36">
        <f>C20&amp;" "&amp;B20</f>
        <v/>
      </c>
      <c r="C47" s="34">
        <f>Y20</f>
        <v/>
      </c>
      <c r="D47" s="32">
        <f>W20</f>
        <v/>
      </c>
      <c r="E47" s="33">
        <f>SUM(E20,H20,K20,N20,Q20,T20)</f>
        <v/>
      </c>
    </row>
    <row r="48">
      <c r="B48" s="36">
        <f>C21&amp;" "&amp;B21</f>
        <v/>
      </c>
      <c r="C48" s="34">
        <f>Y21</f>
        <v/>
      </c>
      <c r="D48" s="32">
        <f>W21</f>
        <v/>
      </c>
      <c r="E48" s="33">
        <f>SUM(E21,H21,K21,N21,Q21,T21)</f>
        <v/>
      </c>
    </row>
    <row r="49">
      <c r="B49" s="36">
        <f>C22&amp;" "&amp;B22</f>
        <v/>
      </c>
      <c r="C49" s="34">
        <f>Y22</f>
        <v/>
      </c>
      <c r="D49" s="32">
        <f>W22</f>
        <v/>
      </c>
      <c r="E49" s="33">
        <f>SUM(E22,H22,K22,N22,Q22,T22)</f>
        <v/>
      </c>
    </row>
    <row r="50" ht="15" customHeight="1" s="72" thickBot="1">
      <c r="B50" s="37">
        <f>C23&amp;" "&amp;B23</f>
        <v/>
      </c>
      <c r="C50" s="34">
        <f>Y23</f>
        <v/>
      </c>
      <c r="D50" s="32">
        <f>W23</f>
        <v/>
      </c>
      <c r="E50" s="33">
        <f>SUM(E23,H23,K23,N23,Q23,T23)</f>
        <v/>
      </c>
    </row>
    <row r="64">
      <c r="X64" t="inlineStr">
        <is>
          <t>`</t>
        </is>
      </c>
    </row>
    <row r="75" ht="27" customHeight="1" s="72">
      <c r="B75" s="75" t="inlineStr">
        <is>
          <t>ULOHA 6</t>
        </is>
      </c>
      <c r="I75" s="59" t="n"/>
      <c r="J75" s="59" t="n"/>
      <c r="K75" s="59" t="n"/>
      <c r="L75" s="59" t="n"/>
      <c r="M75" s="59" t="n"/>
      <c r="N75" s="59" t="n"/>
    </row>
    <row r="76">
      <c r="B76" s="16" t="inlineStr">
        <is>
          <t>Typ vypoctu</t>
        </is>
      </c>
      <c r="C76" s="16" t="inlineStr">
        <is>
          <t>Pouzite data</t>
        </is>
      </c>
      <c r="D76" s="16" t="inlineStr">
        <is>
          <t>Vybrate udaje</t>
        </is>
      </c>
      <c r="E76" s="16" t="inlineStr">
        <is>
          <t>Vysledok</t>
        </is>
      </c>
      <c r="F76" s="81" t="inlineStr">
        <is>
          <t>Prikaz (funkcia) v Exceli</t>
        </is>
      </c>
      <c r="G76" s="82" t="n"/>
      <c r="H76" s="82" t="n"/>
      <c r="I76" s="59" t="n"/>
      <c r="J76" s="59" t="n"/>
      <c r="K76" s="59" t="n"/>
      <c r="L76" s="59" t="n"/>
      <c r="M76" s="59" t="n"/>
      <c r="N76" s="59" t="n"/>
    </row>
    <row r="77">
      <c r="B77" s="17" t="inlineStr">
        <is>
          <t>Sucet</t>
        </is>
      </c>
      <c r="C77" s="17" t="inlineStr">
        <is>
          <t>V6:V23</t>
        </is>
      </c>
      <c r="D77" s="17" t="inlineStr">
        <is>
          <t>Ziskane kredity</t>
        </is>
      </c>
      <c r="E77" s="18">
        <f>SUM(V6:V23)</f>
        <v/>
      </c>
      <c r="F77" s="83" t="inlineStr">
        <is>
          <t>=SUM(V6:V23)</t>
        </is>
      </c>
      <c r="G77" s="82" t="n"/>
      <c r="H77" s="82" t="n"/>
      <c r="I77" s="59" t="n"/>
      <c r="J77" s="59" t="n"/>
      <c r="K77" s="59" t="n"/>
      <c r="L77" s="59" t="n"/>
      <c r="M77" s="59" t="n"/>
      <c r="N77" s="59" t="n"/>
    </row>
    <row r="78">
      <c r="B78" s="17" t="inlineStr">
        <is>
          <t>Minimum</t>
        </is>
      </c>
      <c r="C78" s="17" t="inlineStr">
        <is>
          <t>Y6:Y23</t>
        </is>
      </c>
      <c r="D78" s="17" t="inlineStr">
        <is>
          <t>VSP studentov</t>
        </is>
      </c>
      <c r="E78" s="19">
        <f>MIN(Y6:Y23)</f>
        <v/>
      </c>
      <c r="F78" s="83" t="inlineStr">
        <is>
          <t>=MIN(Y6:Y23)</t>
        </is>
      </c>
      <c r="G78" s="82" t="n"/>
      <c r="H78" s="82" t="n"/>
      <c r="I78" s="59" t="n"/>
      <c r="J78" s="59" t="n"/>
      <c r="K78" s="59" t="n"/>
      <c r="L78" s="59" t="n"/>
      <c r="M78" s="59" t="n"/>
      <c r="N78" s="59" t="n"/>
    </row>
    <row r="79">
      <c r="B79" s="17" t="inlineStr">
        <is>
          <t>Priemer</t>
        </is>
      </c>
      <c r="C79" s="17" t="inlineStr">
        <is>
          <t>W6:W23</t>
        </is>
      </c>
      <c r="D79" s="17" t="inlineStr">
        <is>
          <t>Priemerne znamky studentov</t>
        </is>
      </c>
      <c r="E79" s="19">
        <f>AVERAGE(W6:W23)</f>
        <v/>
      </c>
      <c r="F79" s="83" t="inlineStr">
        <is>
          <t>=AVERAGE(W6:W23)</t>
        </is>
      </c>
      <c r="G79" s="82" t="n"/>
      <c r="H79" s="82" t="n"/>
      <c r="I79" s="59" t="n"/>
      <c r="J79" s="59" t="n"/>
      <c r="K79" s="59" t="n"/>
      <c r="L79" s="59" t="n"/>
      <c r="M79" s="59" t="n"/>
      <c r="N79" s="59" t="n"/>
    </row>
    <row r="80"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</row>
    <row r="81"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</row>
    <row r="82"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</row>
    <row r="83"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</row>
    <row r="84" ht="27" customHeight="1" s="72">
      <c r="B84" s="73" t="inlineStr">
        <is>
          <t xml:space="preserve">ULOHA 7 </t>
        </is>
      </c>
    </row>
    <row r="85"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</row>
    <row r="86">
      <c r="B86" s="20" t="inlineStr">
        <is>
          <t>Kalendarny rad</t>
        </is>
      </c>
      <c r="C86" s="23" t="n">
        <v>46266</v>
      </c>
      <c r="D86" s="23">
        <f>C86+1</f>
        <v/>
      </c>
      <c r="E86" s="23">
        <f>D86+1</f>
        <v/>
      </c>
      <c r="F86" s="23">
        <f>E86+1</f>
        <v/>
      </c>
      <c r="G86" s="23">
        <f>F86+1</f>
        <v/>
      </c>
      <c r="H86" s="23">
        <f>G86+1</f>
        <v/>
      </c>
      <c r="I86" s="23">
        <f>H86+1</f>
        <v/>
      </c>
      <c r="J86" s="23">
        <f>I86+1</f>
        <v/>
      </c>
      <c r="K86" s="23">
        <f>J86+1</f>
        <v/>
      </c>
      <c r="L86" s="23">
        <f>K86+1</f>
        <v/>
      </c>
      <c r="M86" s="23">
        <f>L86+1</f>
        <v/>
      </c>
      <c r="N86" s="23">
        <f>M86+1</f>
        <v/>
      </c>
    </row>
    <row r="87"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</row>
    <row r="88"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</row>
    <row r="89">
      <c r="B89" s="77" t="inlineStr">
        <is>
          <t>Rastovy rad</t>
        </is>
      </c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</row>
    <row r="90"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</row>
    <row r="91">
      <c r="B91" s="21" t="inlineStr">
        <is>
          <t>Koeficient rastu</t>
        </is>
      </c>
      <c r="C91" s="21" t="n">
        <v>2</v>
      </c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</row>
    <row r="92"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</row>
    <row r="93">
      <c r="B93" s="60" t="inlineStr">
        <is>
          <t>Poradie</t>
        </is>
      </c>
      <c r="C93" s="60" t="inlineStr">
        <is>
          <t>Hodnota</t>
        </is>
      </c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</row>
    <row r="94">
      <c r="B94" s="22" t="n">
        <v>1</v>
      </c>
      <c r="C94" s="22" t="n">
        <v>2</v>
      </c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</row>
    <row r="95">
      <c r="B95" s="22">
        <f>B94+1</f>
        <v/>
      </c>
      <c r="C95" s="22">
        <f>C94*$C$91</f>
        <v/>
      </c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</row>
    <row r="96">
      <c r="B96" s="22">
        <f>B95+1</f>
        <v/>
      </c>
      <c r="C96" s="22">
        <f>C95*$C$91</f>
        <v/>
      </c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</row>
    <row r="97">
      <c r="B97" s="22">
        <f>B96+1</f>
        <v/>
      </c>
      <c r="C97" s="22">
        <f>C96*$C$91</f>
        <v/>
      </c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</row>
    <row r="98">
      <c r="B98" s="22">
        <f>B97+1</f>
        <v/>
      </c>
      <c r="C98" s="22">
        <f>C97*$C$91</f>
        <v/>
      </c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</row>
    <row r="99">
      <c r="B99" s="22">
        <f>B98+1</f>
        <v/>
      </c>
      <c r="C99" s="22">
        <f>C98*$C$91</f>
        <v/>
      </c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</row>
    <row r="100">
      <c r="B100" s="22">
        <f>B99+1</f>
        <v/>
      </c>
      <c r="C100" s="22">
        <f>C99*$C$91</f>
        <v/>
      </c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</row>
    <row r="101">
      <c r="B101" s="22">
        <f>B100+1</f>
        <v/>
      </c>
      <c r="C101" s="22">
        <f>C100*$C$91</f>
        <v/>
      </c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</row>
    <row r="102">
      <c r="B102" s="22">
        <f>B101+1</f>
        <v/>
      </c>
      <c r="C102" s="22">
        <f>C101*$C$91</f>
        <v/>
      </c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</row>
    <row r="103">
      <c r="B103" s="22">
        <f>B102+1</f>
        <v/>
      </c>
      <c r="C103" s="22">
        <f>C102*$C$91</f>
        <v/>
      </c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</row>
    <row r="104">
      <c r="B104" s="22">
        <f>B103+1</f>
        <v/>
      </c>
      <c r="C104" s="22">
        <f>C103*$C$91</f>
        <v/>
      </c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</row>
    <row r="105">
      <c r="B105" s="22">
        <f>B104+1</f>
        <v/>
      </c>
      <c r="C105" s="22">
        <f>C104*$C$91</f>
        <v/>
      </c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</row>
    <row r="109">
      <c r="B109" s="74" t="inlineStr">
        <is>
          <t>ULOHA 8</t>
        </is>
      </c>
    </row>
    <row r="111">
      <c r="B111" s="61" t="inlineStr">
        <is>
          <t>ro [gon]</t>
        </is>
      </c>
      <c r="C111" s="84">
        <f>200/PI()</f>
        <v/>
      </c>
    </row>
    <row r="113" ht="30" customHeight="1" s="72">
      <c r="B113" s="66" t="inlineStr">
        <is>
          <t>c. troj.</t>
        </is>
      </c>
      <c r="C113" s="66" t="inlineStr">
        <is>
          <t>a</t>
        </is>
      </c>
      <c r="D113" s="66" t="inlineStr">
        <is>
          <t>b</t>
        </is>
      </c>
      <c r="E113" s="66" t="inlineStr">
        <is>
          <t>c</t>
        </is>
      </c>
      <c r="F113" s="66" t="inlineStr">
        <is>
          <t>Existuje?</t>
        </is>
      </c>
      <c r="G113" s="66" t="inlineStr">
        <is>
          <t>s (polobvod)</t>
        </is>
      </c>
      <c r="H113" s="66" t="inlineStr">
        <is>
          <t>Obvod</t>
        </is>
      </c>
      <c r="I113" s="66" t="inlineStr">
        <is>
          <t>Obsah</t>
        </is>
      </c>
      <c r="J113" s="66" t="inlineStr">
        <is>
          <t>r vpisanej</t>
        </is>
      </c>
      <c r="K113" s="66" t="inlineStr">
        <is>
          <t>R opisanej</t>
        </is>
      </c>
      <c r="L113" s="66" t="inlineStr">
        <is>
          <t>alfa [gon]</t>
        </is>
      </c>
      <c r="M113" s="66" t="inlineStr">
        <is>
          <t>beta [gon]</t>
        </is>
      </c>
      <c r="N113" s="66" t="inlineStr">
        <is>
          <t>gama [gon]</t>
        </is>
      </c>
      <c r="O113" s="66" t="inlineStr">
        <is>
          <t>Sucet uhlov [gon]</t>
        </is>
      </c>
    </row>
    <row r="114">
      <c r="B114" s="49" t="n">
        <v>1</v>
      </c>
      <c r="C114" s="50" t="n">
        <v>30</v>
      </c>
      <c r="D114" s="50" t="n">
        <v>40</v>
      </c>
      <c r="E114" s="50" t="n">
        <v>50</v>
      </c>
      <c r="F114" s="51">
        <f>IF(AND(C114+D114&gt;E114,C114+E114&gt;D114,D114+E114&gt;C114),"ano","nie")</f>
        <v/>
      </c>
      <c r="G114" s="52">
        <f>(C114+D114+E114)/2</f>
        <v/>
      </c>
      <c r="H114" s="52">
        <f>IF(F114="ano",C114+D114+E114,"-")</f>
        <v/>
      </c>
      <c r="I114" s="52">
        <f>IF(F114="ano",SQRT(G114*(G114-C114)*(G114-D114)*(G114-E114)),"nema riesenie")</f>
        <v/>
      </c>
      <c r="J114" s="52">
        <f>IF(F114="ano",I114/G114,"-")</f>
        <v/>
      </c>
      <c r="K114" s="52">
        <f>IF(F114="ano",C114*D114*E114/(4*I114),"-")</f>
        <v/>
      </c>
      <c r="L114" s="85">
        <f>IF(F114="ano",2*ATAN(J114/(G114-C114))*$C$111,"-")</f>
        <v/>
      </c>
      <c r="M114" s="85">
        <f>IF(F114="ano",2*ATAN(J114/(G114-D114))*$C$111,"-")</f>
        <v/>
      </c>
      <c r="N114" s="85">
        <f>IF(F114="ano",2*ATAN(J114/(G114-E114))*$C$111,"-")</f>
        <v/>
      </c>
      <c r="O114" s="85">
        <f>IF(F114="ano",L114+M114+N114,"-")</f>
        <v/>
      </c>
    </row>
    <row r="115">
      <c r="B115" s="49" t="n">
        <v>2</v>
      </c>
      <c r="C115" s="50" t="n">
        <v>245.36</v>
      </c>
      <c r="D115" s="50" t="n">
        <v>318.72</v>
      </c>
      <c r="E115" s="50" t="n">
        <v>402.15</v>
      </c>
      <c r="F115" s="51">
        <f>IF(AND(C115+D115&gt;E115,C115+E115&gt;D115,D115+E115&gt;C115),"ano","nie")</f>
        <v/>
      </c>
      <c r="G115" s="52">
        <f>(C115+D115+E115)/2</f>
        <v/>
      </c>
      <c r="H115" s="52">
        <f>IF(F115="ano",C115+D115+E115,"-")</f>
        <v/>
      </c>
      <c r="I115" s="52">
        <f>IF(F115="ano",SQRT(G115*(G115-C115)*(G115-D115)*(G115-E115)),"nema riesenie")</f>
        <v/>
      </c>
      <c r="J115" s="52">
        <f>IF(F115="ano",I115/G115,"-")</f>
        <v/>
      </c>
      <c r="K115" s="52">
        <f>IF(F115="ano",C115*D115*E115/(4*I115),"-")</f>
        <v/>
      </c>
      <c r="L115" s="85">
        <f>IF(F115="ano",2*ATAN(J115/(G115-C115))*$C$111,"-")</f>
        <v/>
      </c>
      <c r="M115" s="85">
        <f>IF(F115="ano",2*ATAN(J115/(G115-D115))*$C$111,"-")</f>
        <v/>
      </c>
      <c r="N115" s="85">
        <f>IF(F115="ano",2*ATAN(J115/(G115-E115))*$C$111,"-")</f>
        <v/>
      </c>
      <c r="O115" s="85">
        <f>IF(F115="ano",L115+M115+N115,"-")</f>
        <v/>
      </c>
    </row>
    <row r="116">
      <c r="B116" s="49" t="n">
        <v>3</v>
      </c>
      <c r="C116" s="50" t="n">
        <v>512.4</v>
      </c>
      <c r="D116" s="50" t="n">
        <v>487.93</v>
      </c>
      <c r="E116" s="50" t="n">
        <v>150.68</v>
      </c>
      <c r="F116" s="51">
        <f>IF(AND(C116+D116&gt;E116,C116+E116&gt;D116,D116+E116&gt;C116),"ano","nie")</f>
        <v/>
      </c>
      <c r="G116" s="52">
        <f>(C116+D116+E116)/2</f>
        <v/>
      </c>
      <c r="H116" s="52">
        <f>IF(F116="ano",C116+D116+E116,"-")</f>
        <v/>
      </c>
      <c r="I116" s="52">
        <f>IF(F116="ano",SQRT(G116*(G116-C116)*(G116-D116)*(G116-E116)),"nema riesenie")</f>
        <v/>
      </c>
      <c r="J116" s="52">
        <f>IF(F116="ano",I116/G116,"-")</f>
        <v/>
      </c>
      <c r="K116" s="52">
        <f>IF(F116="ano",C116*D116*E116/(4*I116),"-")</f>
        <v/>
      </c>
      <c r="L116" s="85">
        <f>IF(F116="ano",2*ATAN(J116/(G116-C116))*$C$111,"-")</f>
        <v/>
      </c>
      <c r="M116" s="85">
        <f>IF(F116="ano",2*ATAN(J116/(G116-D116))*$C$111,"-")</f>
        <v/>
      </c>
      <c r="N116" s="85">
        <f>IF(F116="ano",2*ATAN(J116/(G116-E116))*$C$111,"-")</f>
        <v/>
      </c>
      <c r="O116" s="85">
        <f>IF(F116="ano",L116+M116+N116,"-")</f>
        <v/>
      </c>
    </row>
    <row r="117">
      <c r="B117" s="49" t="n">
        <v>4</v>
      </c>
      <c r="C117" s="50" t="n">
        <v>700.25</v>
      </c>
      <c r="D117" s="50" t="n">
        <v>650.1</v>
      </c>
      <c r="E117" s="50" t="n">
        <v>820.47</v>
      </c>
      <c r="F117" s="51">
        <f>IF(AND(C117+D117&gt;E117,C117+E117&gt;D117,D117+E117&gt;C117),"ano","nie")</f>
        <v/>
      </c>
      <c r="G117" s="52">
        <f>(C117+D117+E117)/2</f>
        <v/>
      </c>
      <c r="H117" s="52">
        <f>IF(F117="ano",C117+D117+E117,"-")</f>
        <v/>
      </c>
      <c r="I117" s="52">
        <f>IF(F117="ano",SQRT(G117*(G117-C117)*(G117-D117)*(G117-E117)),"nema riesenie")</f>
        <v/>
      </c>
      <c r="J117" s="52">
        <f>IF(F117="ano",I117/G117,"-")</f>
        <v/>
      </c>
      <c r="K117" s="52">
        <f>IF(F117="ano",C117*D117*E117/(4*I117),"-")</f>
        <v/>
      </c>
      <c r="L117" s="85">
        <f>IF(F117="ano",2*ATAN(J117/(G117-C117))*$C$111,"-")</f>
        <v/>
      </c>
      <c r="M117" s="85">
        <f>IF(F117="ano",2*ATAN(J117/(G117-D117))*$C$111,"-")</f>
        <v/>
      </c>
      <c r="N117" s="85">
        <f>IF(F117="ano",2*ATAN(J117/(G117-E117))*$C$111,"-")</f>
        <v/>
      </c>
      <c r="O117" s="85">
        <f>IF(F117="ano",L117+M117+N117,"-")</f>
        <v/>
      </c>
    </row>
    <row r="118">
      <c r="B118" s="49" t="n">
        <v>5</v>
      </c>
      <c r="C118" s="50" t="n">
        <v>100</v>
      </c>
      <c r="D118" s="50" t="n">
        <v>200</v>
      </c>
      <c r="E118" s="50" t="n">
        <v>450</v>
      </c>
      <c r="F118" s="51">
        <f>IF(AND(C118+D118&gt;E118,C118+E118&gt;D118,D118+E118&gt;C118),"ano","nie")</f>
        <v/>
      </c>
      <c r="G118" s="52">
        <f>(C118+D118+E118)/2</f>
        <v/>
      </c>
      <c r="H118" s="52">
        <f>IF(F118="ano",C118+D118+E118,"-")</f>
        <v/>
      </c>
      <c r="I118" s="52">
        <f>IF(F118="ano",SQRT(G118*(G118-C118)*(G118-D118)*(G118-E118)),"nema riesenie")</f>
        <v/>
      </c>
      <c r="J118" s="52">
        <f>IF(F118="ano",I118/G118,"-")</f>
        <v/>
      </c>
      <c r="K118" s="52">
        <f>IF(F118="ano",C118*D118*E118/(4*I118),"-")</f>
        <v/>
      </c>
      <c r="L118" s="85">
        <f>IF(F118="ano",2*ATAN(J118/(G118-C118))*$C$111,"-")</f>
        <v/>
      </c>
      <c r="M118" s="85">
        <f>IF(F118="ano",2*ATAN(J118/(G118-D118))*$C$111,"-")</f>
        <v/>
      </c>
      <c r="N118" s="85">
        <f>IF(F118="ano",2*ATAN(J118/(G118-E118))*$C$111,"-")</f>
        <v/>
      </c>
      <c r="O118" s="85">
        <f>IF(F118="ano",L118+M118+N118,"-")</f>
        <v/>
      </c>
    </row>
    <row r="120">
      <c r="B120" s="61" t="inlineStr">
        <is>
          <t>Pouzite vzorce:</t>
        </is>
      </c>
    </row>
    <row r="121">
      <c r="B121" s="63" t="inlineStr">
        <is>
          <t>Obsah - Heronov vzorec: P = SQRT(s*(s-a)*(s-b)*(s-c)), kde s = (a+b+c)/2</t>
        </is>
      </c>
    </row>
    <row r="122">
      <c r="B122" s="63" t="inlineStr">
        <is>
          <t>r vpisanej kruznice = P / s</t>
        </is>
      </c>
    </row>
    <row r="123">
      <c r="B123" s="63" t="inlineStr">
        <is>
          <t>R opisanej kruznice = a*b*c / (4*P)</t>
        </is>
      </c>
    </row>
    <row r="124">
      <c r="B124" s="63" t="inlineStr">
        <is>
          <t>uhly: alfa = 2*ATAN(r/(s-a)), prevod na grady cez ro = 200/PI() (bunka $C$111 - absolutna adresa)</t>
        </is>
      </c>
    </row>
    <row r="125">
      <c r="B125" s="63" t="inlineStr">
        <is>
          <t>trojuholnik c.5 nema riesenie, lebo 100 + 200 &lt; 450 (neplati trojuholnikova nerovnost)</t>
        </is>
      </c>
    </row>
    <row r="128">
      <c r="B128" s="74" t="inlineStr">
        <is>
          <t xml:space="preserve">ULOHA 9 </t>
        </is>
      </c>
    </row>
    <row r="130">
      <c r="B130" s="63" t="inlineStr">
        <is>
          <t>2x + y - z = 8</t>
        </is>
      </c>
    </row>
    <row r="131">
      <c r="B131" s="63" t="inlineStr">
        <is>
          <t>x - y + 2z = 0</t>
        </is>
      </c>
    </row>
    <row r="132">
      <c r="B132" s="63" t="inlineStr">
        <is>
          <t>3x + 2y + z = 10</t>
        </is>
      </c>
    </row>
    <row r="134" ht="27.6" customHeight="1" s="72">
      <c r="C134" s="66" t="inlineStr">
        <is>
          <t>Matica A</t>
        </is>
      </c>
      <c r="D134" s="67" t="n"/>
      <c r="E134" s="68" t="n"/>
      <c r="G134" s="66" t="inlineStr">
        <is>
          <t>b</t>
        </is>
      </c>
      <c r="I134" s="66" t="inlineStr">
        <is>
          <t>Inverzna matica A (MINVERSE)</t>
        </is>
      </c>
      <c r="J134" s="67" t="n"/>
      <c r="K134" s="68" t="n"/>
      <c r="M134" s="66" t="inlineStr">
        <is>
          <t>Neznama</t>
        </is>
      </c>
      <c r="N134" s="66" t="inlineStr">
        <is>
          <t>Riesenie (MMULT)</t>
        </is>
      </c>
    </row>
    <row r="135">
      <c r="C135" s="54" t="n">
        <v>2</v>
      </c>
      <c r="D135" s="54" t="n">
        <v>1</v>
      </c>
      <c r="E135" s="54" t="n">
        <v>-1</v>
      </c>
      <c r="G135" s="54" t="n">
        <v>8</v>
      </c>
      <c r="I135" s="85">
        <f t="array" ref="I135:K137">MINVERSE(C135:E137)</f>
        <v/>
      </c>
      <c r="J135" s="85" t="n">
        <v>0.3</v>
      </c>
      <c r="K135" s="85" t="n">
        <v>-0.1000000000000001</v>
      </c>
      <c r="M135" s="55" t="inlineStr">
        <is>
          <t>x</t>
        </is>
      </c>
      <c r="N135" s="56">
        <f t="array" ref="N135:N137">MMULT(I135:K137,G135:G137)</f>
        <v/>
      </c>
    </row>
    <row r="136">
      <c r="C136" s="54" t="n">
        <v>1</v>
      </c>
      <c r="D136" s="54" t="n">
        <v>-1</v>
      </c>
      <c r="E136" s="54" t="n">
        <v>2</v>
      </c>
      <c r="G136" s="54" t="n">
        <v>0</v>
      </c>
      <c r="I136" s="85" t="n">
        <v>-0.5000000000000001</v>
      </c>
      <c r="J136" s="85" t="n">
        <v>-0.5</v>
      </c>
      <c r="K136" s="85" t="n">
        <v>0.5000000000000001</v>
      </c>
      <c r="M136" s="55" t="inlineStr">
        <is>
          <t>y</t>
        </is>
      </c>
      <c r="N136" s="56" t="n">
        <v>1</v>
      </c>
    </row>
    <row r="137">
      <c r="C137" s="54" t="n">
        <v>3</v>
      </c>
      <c r="D137" s="54" t="n">
        <v>2</v>
      </c>
      <c r="E137" s="54" t="n">
        <v>1</v>
      </c>
      <c r="G137" s="54" t="n">
        <v>10</v>
      </c>
      <c r="I137" s="85" t="n">
        <v>-0.5</v>
      </c>
      <c r="J137" s="85" t="n">
        <v>0.1</v>
      </c>
      <c r="K137" s="85" t="n">
        <v>0.3</v>
      </c>
      <c r="M137" s="55" t="inlineStr">
        <is>
          <t>z</t>
        </is>
      </c>
      <c r="N137" s="56" t="n">
        <v>-0.9999999999999996</v>
      </c>
    </row>
    <row r="139">
      <c r="C139" s="61" t="inlineStr">
        <is>
          <t>Determinant A (MDETERM):</t>
        </is>
      </c>
      <c r="G139" s="64">
        <f>MDETERM(C135:E137)</f>
        <v/>
      </c>
    </row>
    <row r="140">
      <c r="C140" s="61" t="inlineStr">
        <is>
          <t>Skuska A*x (ma vyjst b):</t>
        </is>
      </c>
      <c r="G140" s="65">
        <f t="array" ref="G140:G142">MMULT(C135:E137,N135:N137)</f>
        <v/>
      </c>
    </row>
    <row r="141">
      <c r="G141" s="65" t="n">
        <v>8.881784197001252e-16</v>
      </c>
    </row>
    <row r="142">
      <c r="G142" s="65" t="n">
        <v>10</v>
      </c>
    </row>
  </sheetData>
  <mergeCells count="20">
    <mergeCell ref="I134:K134"/>
    <mergeCell ref="P4:Q4"/>
    <mergeCell ref="B128:Q128"/>
    <mergeCell ref="B84:N84"/>
    <mergeCell ref="C134:E134"/>
    <mergeCell ref="F76:H76"/>
    <mergeCell ref="F79:H79"/>
    <mergeCell ref="H25:I25"/>
    <mergeCell ref="B75:H75"/>
    <mergeCell ref="B109:Q109"/>
    <mergeCell ref="F77:H77"/>
    <mergeCell ref="J4:K4"/>
    <mergeCell ref="S4:U4"/>
    <mergeCell ref="F78:H78"/>
    <mergeCell ref="H27:I27"/>
    <mergeCell ref="G4:H4"/>
    <mergeCell ref="B89:C89"/>
    <mergeCell ref="B2:AA3"/>
    <mergeCell ref="M4:N4"/>
    <mergeCell ref="H26:I26"/>
  </mergeCells>
  <conditionalFormatting sqref="Y6:Y23">
    <cfRule type="cellIs" priority="1" operator="lessThan" dxfId="0">
      <formula>2</formula>
    </cfRule>
  </conditionalFormatting>
  <dataValidations count="1">
    <dataValidation sqref="D6:D23 G6:G23 J6:J23 M6:M23 P6:P23 S6:S23" showDropDown="0" showInputMessage="0" showErrorMessage="0" allowBlank="0" type="list">
      <formula1>"1,1.5,2,2.5,3,3.5,4"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edith Molar</dc:creator>
  <dcterms:created xmlns:dcterms="http://purl.org/dc/terms/" xmlns:xsi="http://www.w3.org/2001/XMLSchema-instance" xsi:type="dcterms:W3CDTF">2026-09-23T09:24:17Z</dcterms:created>
  <dcterms:modified xmlns:dcterms="http://purl.org/dc/terms/" xmlns:xsi="http://www.w3.org/2001/XMLSchema-instance" xsi:type="dcterms:W3CDTF">2026-09-30T08:25:53Z</dcterms:modified>
  <cp:lastModifiedBy>edith Molar</cp:lastModifiedBy>
</cp:coreProperties>
</file>