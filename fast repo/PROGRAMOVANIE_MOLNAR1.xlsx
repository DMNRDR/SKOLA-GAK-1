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2f1231a3f872ac4c/Documents/github/skola/fast repo/"/>
    </mc:Choice>
  </mc:AlternateContent>
  <xr:revisionPtr revIDLastSave="6" documentId="8_{29E50FA5-9AE3-4CAC-8190-D25CFCE80D41}" xr6:coauthVersionLast="47" xr6:coauthVersionMax="47" xr10:uidLastSave="{277B84B2-C02A-434E-9BDD-BF8C9EF7CA85}"/>
  <bookViews>
    <workbookView xWindow="-108" yWindow="-108" windowWidth="23256" windowHeight="12456" activeTab="1" xr2:uid="{00000000-000D-0000-FFFF-FFFF00000000}"/>
  </bookViews>
  <sheets>
    <sheet name="Sheet1" sheetId="1" r:id="rId1"/>
    <sheet name="Ulohy 6-7" sheetId="6" r:id="rId2"/>
  </sheets>
  <definedNames>
    <definedName name="_xlnm.Print_Area" localSheetId="1">'Ulohy 6-7'!$A$1:$M$31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H27" i="1"/>
  <c r="B21" i="6" l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A21" i="6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C12" i="6"/>
  <c r="D12" i="6" s="1"/>
  <c r="E12" i="6" s="1"/>
  <c r="F12" i="6" s="1"/>
  <c r="G12" i="6" s="1"/>
  <c r="H12" i="6" s="1"/>
  <c r="I12" i="6" s="1"/>
  <c r="J12" i="6" s="1"/>
  <c r="K12" i="6" s="1"/>
  <c r="L12" i="6" s="1"/>
  <c r="M12" i="6" s="1"/>
  <c r="D6" i="6"/>
  <c r="E50" i="1"/>
  <c r="B50" i="1"/>
  <c r="E49" i="1"/>
  <c r="B49" i="1"/>
  <c r="E48" i="1"/>
  <c r="B48" i="1"/>
  <c r="E47" i="1"/>
  <c r="B47" i="1"/>
  <c r="E46" i="1"/>
  <c r="B46" i="1"/>
  <c r="E45" i="1"/>
  <c r="B45" i="1"/>
  <c r="E44" i="1"/>
  <c r="B44" i="1"/>
  <c r="E43" i="1"/>
  <c r="B43" i="1"/>
  <c r="E42" i="1"/>
  <c r="B42" i="1"/>
  <c r="E41" i="1"/>
  <c r="B41" i="1"/>
  <c r="E40" i="1"/>
  <c r="B40" i="1"/>
  <c r="E39" i="1"/>
  <c r="B39" i="1"/>
  <c r="E38" i="1"/>
  <c r="B38" i="1"/>
  <c r="E37" i="1"/>
  <c r="B37" i="1"/>
  <c r="E36" i="1"/>
  <c r="B36" i="1"/>
  <c r="E35" i="1"/>
  <c r="B35" i="1"/>
  <c r="E34" i="1"/>
  <c r="B34" i="1"/>
  <c r="E33" i="1"/>
  <c r="B33" i="1"/>
  <c r="G27" i="1"/>
  <c r="F27" i="1"/>
  <c r="E27" i="1"/>
  <c r="D27" i="1"/>
  <c r="C27" i="1"/>
  <c r="G26" i="1"/>
  <c r="F26" i="1"/>
  <c r="E26" i="1"/>
  <c r="D26" i="1"/>
  <c r="C26" i="1"/>
  <c r="Y23" i="1"/>
  <c r="C50" i="1" s="1"/>
  <c r="X23" i="1"/>
  <c r="W23" i="1"/>
  <c r="D50" i="1" s="1"/>
  <c r="V23" i="1"/>
  <c r="Y22" i="1"/>
  <c r="C49" i="1" s="1"/>
  <c r="X22" i="1"/>
  <c r="W22" i="1"/>
  <c r="D49" i="1" s="1"/>
  <c r="V22" i="1"/>
  <c r="Y21" i="1"/>
  <c r="C48" i="1" s="1"/>
  <c r="X21" i="1"/>
  <c r="W21" i="1"/>
  <c r="D48" i="1" s="1"/>
  <c r="V21" i="1"/>
  <c r="Y20" i="1"/>
  <c r="C47" i="1" s="1"/>
  <c r="X20" i="1"/>
  <c r="W20" i="1"/>
  <c r="D47" i="1" s="1"/>
  <c r="V20" i="1"/>
  <c r="Y19" i="1"/>
  <c r="C46" i="1" s="1"/>
  <c r="X19" i="1"/>
  <c r="W19" i="1"/>
  <c r="D46" i="1" s="1"/>
  <c r="V19" i="1"/>
  <c r="Y18" i="1"/>
  <c r="C45" i="1" s="1"/>
  <c r="X18" i="1"/>
  <c r="W18" i="1"/>
  <c r="D45" i="1" s="1"/>
  <c r="V18" i="1"/>
  <c r="Y17" i="1"/>
  <c r="C44" i="1" s="1"/>
  <c r="X17" i="1"/>
  <c r="W17" i="1"/>
  <c r="D44" i="1" s="1"/>
  <c r="V17" i="1"/>
  <c r="Y16" i="1"/>
  <c r="C43" i="1" s="1"/>
  <c r="X16" i="1"/>
  <c r="W16" i="1"/>
  <c r="D43" i="1" s="1"/>
  <c r="V16" i="1"/>
  <c r="Y15" i="1"/>
  <c r="C42" i="1" s="1"/>
  <c r="X15" i="1"/>
  <c r="W15" i="1"/>
  <c r="D42" i="1" s="1"/>
  <c r="V15" i="1"/>
  <c r="Y14" i="1"/>
  <c r="C41" i="1" s="1"/>
  <c r="X14" i="1"/>
  <c r="W14" i="1"/>
  <c r="D41" i="1" s="1"/>
  <c r="V14" i="1"/>
  <c r="Y13" i="1"/>
  <c r="C40" i="1" s="1"/>
  <c r="X13" i="1"/>
  <c r="W13" i="1"/>
  <c r="D40" i="1" s="1"/>
  <c r="V13" i="1"/>
  <c r="Y12" i="1"/>
  <c r="C39" i="1" s="1"/>
  <c r="X12" i="1"/>
  <c r="W12" i="1"/>
  <c r="D39" i="1" s="1"/>
  <c r="V12" i="1"/>
  <c r="Y11" i="1"/>
  <c r="C38" i="1" s="1"/>
  <c r="X11" i="1"/>
  <c r="W11" i="1"/>
  <c r="D38" i="1" s="1"/>
  <c r="V11" i="1"/>
  <c r="Y10" i="1"/>
  <c r="C37" i="1" s="1"/>
  <c r="X10" i="1"/>
  <c r="W10" i="1"/>
  <c r="D37" i="1" s="1"/>
  <c r="V10" i="1"/>
  <c r="Y9" i="1"/>
  <c r="C36" i="1" s="1"/>
  <c r="X9" i="1"/>
  <c r="W9" i="1"/>
  <c r="D36" i="1" s="1"/>
  <c r="V9" i="1"/>
  <c r="Y8" i="1"/>
  <c r="C35" i="1" s="1"/>
  <c r="X8" i="1"/>
  <c r="W8" i="1"/>
  <c r="D35" i="1" s="1"/>
  <c r="V8" i="1"/>
  <c r="Y7" i="1"/>
  <c r="C34" i="1" s="1"/>
  <c r="X7" i="1"/>
  <c r="W7" i="1"/>
  <c r="D34" i="1" s="1"/>
  <c r="V7" i="1"/>
  <c r="Y6" i="1"/>
  <c r="C33" i="1" s="1"/>
  <c r="X6" i="1"/>
  <c r="W6" i="1"/>
  <c r="D33" i="1" s="1"/>
  <c r="V6" i="1"/>
  <c r="D5" i="6" s="1"/>
  <c r="D7" i="6" l="1"/>
  <c r="C29" i="1"/>
</calcChain>
</file>

<file path=xl/sharedStrings.xml><?xml version="1.0" encoding="utf-8"?>
<sst xmlns="http://schemas.openxmlformats.org/spreadsheetml/2006/main" count="108" uniqueCount="88">
  <si>
    <t xml:space="preserve"> </t>
  </si>
  <si>
    <t>Meno</t>
  </si>
  <si>
    <t>Priezvisko</t>
  </si>
  <si>
    <t>Geodezia</t>
  </si>
  <si>
    <t>Matematika</t>
  </si>
  <si>
    <t>Fyzika</t>
  </si>
  <si>
    <t>Programovanie</t>
  </si>
  <si>
    <t xml:space="preserve">CAD Systems </t>
  </si>
  <si>
    <t>Metody zobrazovania</t>
  </si>
  <si>
    <t>Ziskane kredity</t>
  </si>
  <si>
    <t>Priemerna znamka</t>
  </si>
  <si>
    <t>Priemerny pocet pokusov</t>
  </si>
  <si>
    <t>VSP</t>
  </si>
  <si>
    <t>Znamka</t>
  </si>
  <si>
    <t>Pokusy</t>
  </si>
  <si>
    <t>Kredity</t>
  </si>
  <si>
    <t>Znamka2</t>
  </si>
  <si>
    <t>Pokusy2</t>
  </si>
  <si>
    <t>Kredity2</t>
  </si>
  <si>
    <t>Znamka3</t>
  </si>
  <si>
    <t>Pokusy3</t>
  </si>
  <si>
    <t>Kredity3</t>
  </si>
  <si>
    <t>Znamka4</t>
  </si>
  <si>
    <t>Pokusy4</t>
  </si>
  <si>
    <t>Kredity4</t>
  </si>
  <si>
    <t>Znamka5</t>
  </si>
  <si>
    <t>Pokusy5</t>
  </si>
  <si>
    <t>Kredity5</t>
  </si>
  <si>
    <t>Znamka6</t>
  </si>
  <si>
    <t>Pokusy6</t>
  </si>
  <si>
    <t>Kredity6</t>
  </si>
  <si>
    <t>Monika</t>
  </si>
  <si>
    <t>Koncova</t>
  </si>
  <si>
    <t>Emanuel</t>
  </si>
  <si>
    <t>Kovac</t>
  </si>
  <si>
    <t>Marek</t>
  </si>
  <si>
    <t>Denisa</t>
  </si>
  <si>
    <t>Kovacova</t>
  </si>
  <si>
    <t>Anton</t>
  </si>
  <si>
    <t>Liso</t>
  </si>
  <si>
    <t>kristina</t>
  </si>
  <si>
    <t>Mlynarova</t>
  </si>
  <si>
    <t>jana</t>
  </si>
  <si>
    <t>Novotna</t>
  </si>
  <si>
    <t>Novy</t>
  </si>
  <si>
    <t>Miro</t>
  </si>
  <si>
    <t>Vanesa</t>
  </si>
  <si>
    <t>Papulakova</t>
  </si>
  <si>
    <t>Rasto</t>
  </si>
  <si>
    <t>Sisovsky</t>
  </si>
  <si>
    <t>Paula</t>
  </si>
  <si>
    <t>Smutna</t>
  </si>
  <si>
    <t>Marian</t>
  </si>
  <si>
    <t>Smutny</t>
  </si>
  <si>
    <t>David</t>
  </si>
  <si>
    <t>Vesely</t>
  </si>
  <si>
    <t>Denis</t>
  </si>
  <si>
    <t>Oliver</t>
  </si>
  <si>
    <t>Ziacik</t>
  </si>
  <si>
    <t>Marianna</t>
  </si>
  <si>
    <t>Ziacikova</t>
  </si>
  <si>
    <t>Patricia</t>
  </si>
  <si>
    <t>Zuffova</t>
  </si>
  <si>
    <t>Ukazovatel</t>
  </si>
  <si>
    <t>CAD Systems</t>
  </si>
  <si>
    <t>Priemerny VSP celeho kruzku</t>
  </si>
  <si>
    <t>Student</t>
  </si>
  <si>
    <t>Pocet pokusov</t>
  </si>
  <si>
    <t>`</t>
  </si>
  <si>
    <t>V ponuke stavoveho riadku: Priemer, Pocet, Minimum, Maximum a Sucet.</t>
  </si>
  <si>
    <t>Typ vypoctu</t>
  </si>
  <si>
    <t>Vybrate udaje</t>
  </si>
  <si>
    <t>Vysledok</t>
  </si>
  <si>
    <t>ULOHA 7 - KALENDARNE A RASTOVE RADY</t>
  </si>
  <si>
    <t>Kalendarny rad</t>
  </si>
  <si>
    <t>Rastovy rad</t>
  </si>
  <si>
    <t>Koeficient rastu</t>
  </si>
  <si>
    <t>Poradie</t>
  </si>
  <si>
    <t>Hodnota</t>
  </si>
  <si>
    <t>Sucet</t>
  </si>
  <si>
    <t>Minimum</t>
  </si>
  <si>
    <t>VSP studentov</t>
  </si>
  <si>
    <t>Priemer</t>
  </si>
  <si>
    <t>Sheet1!W6:W23</t>
  </si>
  <si>
    <t>Priemerne znamky studentov</t>
  </si>
  <si>
    <t xml:space="preserve">ULOHA 6 </t>
  </si>
  <si>
    <t>prikaz</t>
  </si>
  <si>
    <t>.=SUM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</si>
</sst>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dd/mm/yyyy"/>
  </numFmts>
  <fonts count="13" x14ac:knownFonts="1">
    <font>
      <sz val="11"/>
      <color theme="1"/>
      <name val="Aptos Narrow"/>
    </font>
    <font>
      <sz val="11"/>
      <color theme="1"/>
      <name val="Aptos Narrow"/>
    </font>
    <font>
      <sz val="11"/>
      <color rgb="FF9C5700"/>
      <name val="Aptos Narrow"/>
    </font>
    <font>
      <sz val="10"/>
      <color rgb="FF9C5700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theme="1"/>
      <name val="Arial"/>
    </font>
    <font>
      <b/>
      <sz val="10"/>
      <color rgb="FF9C5700"/>
      <name val="Arial"/>
    </font>
    <font>
      <b/>
      <sz val="10"/>
      <color rgb="FFFFFFFF"/>
      <name val="Aptos"/>
      <family val="2"/>
    </font>
    <font>
      <sz val="10"/>
      <color theme="1"/>
      <name val="Aptos"/>
      <family val="2"/>
    </font>
    <font>
      <i/>
      <sz val="10"/>
      <color rgb="FF595959"/>
      <name val="Aptos"/>
      <family val="2"/>
    </font>
    <font>
      <b/>
      <sz val="10"/>
      <color theme="1"/>
      <name val="Aptos"/>
      <family val="2"/>
    </font>
    <font>
      <sz val="11"/>
      <color theme="0"/>
      <name val="Calibri"/>
      <family val="2"/>
      <charset val="238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rgb="FFFFE699"/>
      </patternFill>
    </fill>
    <fill>
      <patternFill patternType="solid">
        <fgColor rgb="FF2FA8D8"/>
      </patternFill>
    </fill>
    <fill>
      <patternFill patternType="solid">
        <fgColor rgb="FFF4A47E"/>
      </patternFill>
    </fill>
    <fill>
      <patternFill patternType="solid">
        <fgColor rgb="FF2FA8D8"/>
      </patternFill>
    </fill>
    <fill>
      <patternFill patternType="solid">
        <fgColor rgb="FFF4A47E"/>
      </patternFill>
    </fill>
    <fill>
      <patternFill patternType="solid">
        <fgColor rgb="FFFFE699"/>
      </patternFill>
    </fill>
    <fill>
      <patternFill patternType="solid">
        <fgColor rgb="FF2FA8D8"/>
      </patternFill>
    </fill>
    <fill>
      <patternFill patternType="solid">
        <fgColor rgb="FF1F4E79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5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2" fillId="19" borderId="0" applyNumberFormat="0" applyBorder="0" applyAlignment="0" applyProtection="0"/>
  </cellStyleXfs>
  <cellXfs count="5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3" borderId="2" xfId="2" applyBorder="1" applyAlignment="1"/>
    <xf numFmtId="0" fontId="1" fillId="3" borderId="1" xfId="2" applyBorder="1" applyAlignment="1"/>
    <xf numFmtId="0" fontId="1" fillId="3" borderId="4" xfId="2" applyBorder="1" applyAlignment="1"/>
    <xf numFmtId="0" fontId="1" fillId="3" borderId="5" xfId="2" applyBorder="1" applyAlignment="1"/>
    <xf numFmtId="0" fontId="1" fillId="3" borderId="3" xfId="2" applyBorder="1" applyAlignment="1"/>
    <xf numFmtId="0" fontId="2" fillId="2" borderId="6" xfId="1" applyBorder="1" applyAlignment="1">
      <alignment horizontal="center"/>
    </xf>
    <xf numFmtId="0" fontId="2" fillId="2" borderId="6" xfId="1" applyBorder="1"/>
    <xf numFmtId="0" fontId="3" fillId="5" borderId="6" xfId="0" applyFont="1" applyFill="1" applyBorder="1" applyAlignment="1">
      <alignment horizontal="center"/>
    </xf>
    <xf numFmtId="0" fontId="4" fillId="6" borderId="6" xfId="0" applyFont="1" applyFill="1" applyBorder="1" applyAlignment="1">
      <alignment horizontal="center" vertical="center"/>
    </xf>
    <xf numFmtId="1" fontId="5" fillId="7" borderId="6" xfId="0" applyNumberFormat="1" applyFont="1" applyFill="1" applyBorder="1" applyAlignment="1">
      <alignment horizontal="center" vertical="center"/>
    </xf>
    <xf numFmtId="2" fontId="5" fillId="7" borderId="6" xfId="0" applyNumberFormat="1" applyFont="1" applyFill="1" applyBorder="1" applyAlignment="1">
      <alignment horizontal="center" vertical="center"/>
    </xf>
    <xf numFmtId="164" fontId="5" fillId="7" borderId="6" xfId="0" applyNumberFormat="1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4" borderId="6" xfId="0" applyFill="1" applyBorder="1" applyAlignment="1">
      <alignment horizontal="left" vertical="center"/>
    </xf>
    <xf numFmtId="0" fontId="0" fillId="4" borderId="6" xfId="0" applyFill="1" applyBorder="1" applyAlignment="1">
      <alignment horizontal="center" vertical="center"/>
    </xf>
    <xf numFmtId="165" fontId="0" fillId="4" borderId="6" xfId="0" applyNumberFormat="1" applyFill="1" applyBorder="1" applyAlignment="1">
      <alignment horizontal="center" vertical="center"/>
    </xf>
    <xf numFmtId="165" fontId="0" fillId="4" borderId="6" xfId="0" applyNumberFormat="1" applyFill="1" applyBorder="1" applyAlignment="1">
      <alignment horizontal="center" vertical="center" wrapText="1"/>
    </xf>
    <xf numFmtId="0" fontId="7" fillId="10" borderId="7" xfId="0" applyFont="1" applyFill="1" applyBorder="1"/>
    <xf numFmtId="0" fontId="4" fillId="11" borderId="8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8" fillId="13" borderId="9" xfId="0" applyFont="1" applyFill="1" applyBorder="1" applyAlignment="1">
      <alignment vertical="center"/>
    </xf>
    <xf numFmtId="0" fontId="9" fillId="14" borderId="9" xfId="0" applyFont="1" applyFill="1" applyBorder="1" applyAlignment="1">
      <alignment vertical="center"/>
    </xf>
    <xf numFmtId="1" fontId="11" fillId="14" borderId="9" xfId="0" applyNumberFormat="1" applyFont="1" applyFill="1" applyBorder="1" applyAlignment="1">
      <alignment horizontal="center" vertical="center"/>
    </xf>
    <xf numFmtId="164" fontId="11" fillId="14" borderId="9" xfId="0" applyNumberFormat="1" applyFont="1" applyFill="1" applyBorder="1" applyAlignment="1">
      <alignment horizontal="center" vertical="center"/>
    </xf>
    <xf numFmtId="0" fontId="11" fillId="16" borderId="10" xfId="0" applyFont="1" applyFill="1" applyBorder="1" applyAlignment="1">
      <alignment vertical="center"/>
    </xf>
    <xf numFmtId="0" fontId="9" fillId="18" borderId="6" xfId="0" applyFont="1" applyFill="1" applyBorder="1" applyAlignment="1">
      <alignment vertical="center"/>
    </xf>
    <xf numFmtId="1" fontId="11" fillId="16" borderId="0" xfId="0" applyNumberFormat="1" applyFont="1" applyFill="1" applyAlignment="1">
      <alignment horizontal="center" vertical="center"/>
    </xf>
    <xf numFmtId="1" fontId="9" fillId="17" borderId="10" xfId="0" applyNumberFormat="1" applyFont="1" applyFill="1" applyBorder="1" applyAlignment="1">
      <alignment horizontal="center" vertical="center"/>
    </xf>
    <xf numFmtId="166" fontId="9" fillId="17" borderId="10" xfId="0" applyNumberFormat="1" applyFont="1" applyFill="1" applyBorder="1" applyAlignment="1">
      <alignment horizontal="center" vertical="center"/>
    </xf>
    <xf numFmtId="0" fontId="8" fillId="12" borderId="0" xfId="0" applyFont="1" applyFill="1" applyAlignment="1">
      <alignment horizontal="center"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8" fillId="15" borderId="0" xfId="0" applyFont="1" applyFill="1" applyAlignment="1">
      <alignment horizontal="center" vertical="center"/>
    </xf>
    <xf numFmtId="0" fontId="8" fillId="15" borderId="0" xfId="0" applyFont="1" applyFill="1" applyAlignment="1">
      <alignment vertical="center"/>
    </xf>
    <xf numFmtId="0" fontId="2" fillId="2" borderId="6" xfId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164" fontId="7" fillId="10" borderId="11" xfId="0" applyNumberFormat="1" applyFont="1" applyFill="1" applyBorder="1"/>
    <xf numFmtId="2" fontId="6" fillId="9" borderId="6" xfId="0" applyNumberFormat="1" applyFont="1" applyFill="1" applyBorder="1" applyAlignment="1">
      <alignment horizontal="center" vertical="center"/>
    </xf>
    <xf numFmtId="2" fontId="6" fillId="9" borderId="12" xfId="0" applyNumberFormat="1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2" fontId="6" fillId="9" borderId="14" xfId="0" applyNumberFormat="1" applyFont="1" applyFill="1" applyBorder="1" applyAlignment="1">
      <alignment horizontal="center" vertical="center"/>
    </xf>
    <xf numFmtId="0" fontId="7" fillId="10" borderId="11" xfId="0" applyFont="1" applyFill="1" applyBorder="1" applyAlignment="1">
      <alignment horizontal="left" vertical="center"/>
    </xf>
    <xf numFmtId="2" fontId="6" fillId="9" borderId="15" xfId="0" applyNumberFormat="1" applyFont="1" applyFill="1" applyBorder="1" applyAlignment="1">
      <alignment horizontal="center" vertical="center"/>
    </xf>
    <xf numFmtId="2" fontId="6" fillId="0" borderId="6" xfId="0" applyNumberFormat="1" applyFont="1" applyBorder="1" applyAlignment="1">
      <alignment horizontal="center" vertical="center"/>
    </xf>
    <xf numFmtId="1" fontId="6" fillId="0" borderId="6" xfId="0" applyNumberFormat="1" applyFont="1" applyBorder="1" applyAlignment="1">
      <alignment horizontal="center" vertical="center"/>
    </xf>
    <xf numFmtId="2" fontId="6" fillId="0" borderId="15" xfId="0" applyNumberFormat="1" applyFont="1" applyBorder="1" applyAlignment="1">
      <alignment horizontal="center" vertical="center"/>
    </xf>
    <xf numFmtId="0" fontId="12" fillId="19" borderId="16" xfId="4" applyBorder="1" applyAlignment="1">
      <alignment horizontal="center" vertical="center"/>
    </xf>
    <xf numFmtId="0" fontId="12" fillId="19" borderId="17" xfId="4" applyBorder="1" applyAlignment="1">
      <alignment horizontal="center" vertical="center"/>
    </xf>
    <xf numFmtId="0" fontId="12" fillId="19" borderId="18" xfId="4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2" fontId="6" fillId="9" borderId="19" xfId="0" applyNumberFormat="1" applyFont="1" applyFill="1" applyBorder="1" applyAlignment="1">
      <alignment horizontal="center" vertical="center"/>
    </xf>
    <xf numFmtId="2" fontId="6" fillId="9" borderId="8" xfId="0" applyNumberFormat="1" applyFont="1" applyFill="1" applyBorder="1" applyAlignment="1">
      <alignment horizontal="center" vertical="center"/>
    </xf>
  </cellXfs>
  <cellStyles count="5">
    <cellStyle name="60% - Accent1" xfId="2" xr:uid="{00000000-0005-0000-0000-000000000000}"/>
    <cellStyle name="60% - Accent2" xfId="3" xr:uid="{00000000-0005-0000-0000-000001000000}"/>
    <cellStyle name="Accent2" xfId="4" builtinId="33"/>
    <cellStyle name="Neutral" xfId="1" xr:uid="{00000000-0005-0000-0000-000002000000}"/>
    <cellStyle name="Normal" xfId="0" builtinId="0"/>
  </cellStyles>
  <dxfs count="25">
    <dxf>
      <font>
        <b/>
        <color rgb="FF006100"/>
      </font>
      <fill>
        <patternFill>
          <bgColor rgb="FFC6EFCE"/>
        </patternFill>
      </fill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/>
            </a:pPr>
            <a:r>
              <a:rPr lang="en-US" sz="1500" b="1"/>
              <a:t>VSP STUDENTOV</a:t>
            </a:r>
          </a:p>
        </c:rich>
      </c:tx>
      <c:overlay val="0"/>
    </c:title>
    <c:autoTitleDeleted val="0"/>
    <c:view3D>
      <c:rotX val="15"/>
      <c:rotY val="15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VSP</c:v>
          </c:tx>
          <c:spPr>
            <a:solidFill>
              <a:srgbClr val="1B6987"/>
            </a:solidFill>
            <a:ln>
              <a:solidFill>
                <a:srgbClr val="09465D"/>
              </a:solidFill>
            </a:ln>
          </c:spPr>
          <c:invertIfNegative val="0"/>
          <c:cat>
            <c:strRef>
              <c:f>Sheet1!$B$33:$B$50</c:f>
              <c:strCache>
                <c:ptCount val="18"/>
                <c:pt idx="0">
                  <c:v>Koncova Monika</c:v>
                </c:pt>
                <c:pt idx="1">
                  <c:v>Kovac Emanuel</c:v>
                </c:pt>
                <c:pt idx="2">
                  <c:v>Kovac Marek</c:v>
                </c:pt>
                <c:pt idx="3">
                  <c:v>Kovacova Denisa</c:v>
                </c:pt>
                <c:pt idx="4">
                  <c:v>Liso Anton</c:v>
                </c:pt>
                <c:pt idx="5">
                  <c:v>Mlynarova kristina</c:v>
                </c:pt>
                <c:pt idx="6">
                  <c:v>Novotna jana</c:v>
                </c:pt>
                <c:pt idx="7">
                  <c:v>Novy Anton</c:v>
                </c:pt>
                <c:pt idx="8">
                  <c:v>Novy Miro</c:v>
                </c:pt>
                <c:pt idx="9">
                  <c:v>Papulakova Vanesa</c:v>
                </c:pt>
                <c:pt idx="10">
                  <c:v>Sisovsky Rasto</c:v>
                </c:pt>
                <c:pt idx="11">
                  <c:v>Smutna Paula</c:v>
                </c:pt>
                <c:pt idx="12">
                  <c:v>Smutny Marian</c:v>
                </c:pt>
                <c:pt idx="13">
                  <c:v>Vesely David</c:v>
                </c:pt>
                <c:pt idx="14">
                  <c:v>Vesely Denis</c:v>
                </c:pt>
                <c:pt idx="15">
                  <c:v>Ziacik Oliver</c:v>
                </c:pt>
                <c:pt idx="16">
                  <c:v>Ziacikova Marianna</c:v>
                </c:pt>
                <c:pt idx="17">
                  <c:v>Zuffova Patricia</c:v>
                </c:pt>
              </c:strCache>
            </c:strRef>
          </c:cat>
          <c:val>
            <c:numRef>
              <c:f>Sheet1!$C$33:$C$50</c:f>
              <c:numCache>
                <c:formatCode>0.00</c:formatCode>
                <c:ptCount val="18"/>
                <c:pt idx="0">
                  <c:v>2.5135135135135136</c:v>
                </c:pt>
                <c:pt idx="1">
                  <c:v>2.4054054054054053</c:v>
                </c:pt>
                <c:pt idx="2">
                  <c:v>2.1486486486486487</c:v>
                </c:pt>
                <c:pt idx="3">
                  <c:v>2.3243243243243241</c:v>
                </c:pt>
                <c:pt idx="4">
                  <c:v>2.6216216216216215</c:v>
                </c:pt>
                <c:pt idx="5">
                  <c:v>2.4459459459459461</c:v>
                </c:pt>
                <c:pt idx="6">
                  <c:v>3.1351351351351351</c:v>
                </c:pt>
                <c:pt idx="7">
                  <c:v>1.7702702702702702</c:v>
                </c:pt>
                <c:pt idx="8">
                  <c:v>2</c:v>
                </c:pt>
                <c:pt idx="9">
                  <c:v>1.6756756756756757</c:v>
                </c:pt>
                <c:pt idx="10">
                  <c:v>2.9054054054054053</c:v>
                </c:pt>
                <c:pt idx="11">
                  <c:v>2.2432432432432434</c:v>
                </c:pt>
                <c:pt idx="12">
                  <c:v>2.1756756756756759</c:v>
                </c:pt>
                <c:pt idx="13">
                  <c:v>2.8513513513513513</c:v>
                </c:pt>
                <c:pt idx="14">
                  <c:v>2.8648648648648649</c:v>
                </c:pt>
                <c:pt idx="15">
                  <c:v>1.9324324324324325</c:v>
                </c:pt>
                <c:pt idx="16">
                  <c:v>1.9189189189189189</c:v>
                </c:pt>
                <c:pt idx="17">
                  <c:v>2.810810810810811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F6-433A-AF76-FE03CADFE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shape val="box"/>
        <c:axId val="409928416"/>
        <c:axId val="2134762032"/>
        <c:axId val="0"/>
      </c:bar3DChart>
      <c:catAx>
        <c:axId val="409928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sz="800"/>
            </a:pPr>
            <a:endParaRPr lang="en-US"/>
          </a:p>
        </c:txPr>
        <c:crossAx val="2134762032"/>
        <c:crosses val="autoZero"/>
        <c:auto val="1"/>
        <c:lblAlgn val="ctr"/>
        <c:lblOffset val="100"/>
        <c:noMultiLvlLbl val="0"/>
      </c:catAx>
      <c:valAx>
        <c:axId val="213476203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09928416"/>
        <c:crosses val="autoZero"/>
        <c:crossBetween val="between"/>
      </c:valAx>
      <c:spPr>
        <a:solidFill>
          <a:srgbClr val="E8E8E8"/>
        </a:solidFill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8E8E8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1"/>
            </a:pPr>
            <a:r>
              <a:rPr lang="en-US" sz="1500" b="1"/>
              <a:t>USPESNOST STUDENTOV</a:t>
            </a:r>
          </a:p>
        </c:rich>
      </c:tx>
      <c:overlay val="0"/>
    </c:title>
    <c:autoTitleDeleted val="0"/>
    <c:view3D>
      <c:rotX val="10"/>
      <c:rotY val="12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v>Pocet pokusov</c:v>
          </c:tx>
          <c:spPr>
            <a:solidFill>
              <a:srgbClr val="F6C7B6"/>
            </a:solidFill>
            <a:ln>
              <a:solidFill>
                <a:srgbClr val="EF7042"/>
              </a:solidFill>
            </a:ln>
          </c:spPr>
          <c:invertIfNegative val="0"/>
          <c:cat>
            <c:strRef>
              <c:f>Sheet1!$B$33:$B$50</c:f>
              <c:strCache>
                <c:ptCount val="18"/>
                <c:pt idx="0">
                  <c:v>Koncova Monika</c:v>
                </c:pt>
                <c:pt idx="1">
                  <c:v>Kovac Emanuel</c:v>
                </c:pt>
                <c:pt idx="2">
                  <c:v>Kovac Marek</c:v>
                </c:pt>
                <c:pt idx="3">
                  <c:v>Kovacova Denisa</c:v>
                </c:pt>
                <c:pt idx="4">
                  <c:v>Liso Anton</c:v>
                </c:pt>
                <c:pt idx="5">
                  <c:v>Mlynarova kristina</c:v>
                </c:pt>
                <c:pt idx="6">
                  <c:v>Novotna jana</c:v>
                </c:pt>
                <c:pt idx="7">
                  <c:v>Novy Anton</c:v>
                </c:pt>
                <c:pt idx="8">
                  <c:v>Novy Miro</c:v>
                </c:pt>
                <c:pt idx="9">
                  <c:v>Papulakova Vanesa</c:v>
                </c:pt>
                <c:pt idx="10">
                  <c:v>Sisovsky Rasto</c:v>
                </c:pt>
                <c:pt idx="11">
                  <c:v>Smutna Paula</c:v>
                </c:pt>
                <c:pt idx="12">
                  <c:v>Smutny Marian</c:v>
                </c:pt>
                <c:pt idx="13">
                  <c:v>Vesely David</c:v>
                </c:pt>
                <c:pt idx="14">
                  <c:v>Vesely Denis</c:v>
                </c:pt>
                <c:pt idx="15">
                  <c:v>Ziacik Oliver</c:v>
                </c:pt>
                <c:pt idx="16">
                  <c:v>Ziacikova Marianna</c:v>
                </c:pt>
                <c:pt idx="17">
                  <c:v>Zuffova Patricia</c:v>
                </c:pt>
              </c:strCache>
            </c:strRef>
          </c:cat>
          <c:val>
            <c:numRef>
              <c:f>Sheet1!$E$33:$E$50</c:f>
              <c:numCache>
                <c:formatCode>0</c:formatCode>
                <c:ptCount val="18"/>
                <c:pt idx="0">
                  <c:v>12</c:v>
                </c:pt>
                <c:pt idx="1">
                  <c:v>13</c:v>
                </c:pt>
                <c:pt idx="2">
                  <c:v>12</c:v>
                </c:pt>
                <c:pt idx="3">
                  <c:v>14</c:v>
                </c:pt>
                <c:pt idx="4">
                  <c:v>11</c:v>
                </c:pt>
                <c:pt idx="5">
                  <c:v>11</c:v>
                </c:pt>
                <c:pt idx="6">
                  <c:v>12</c:v>
                </c:pt>
                <c:pt idx="7">
                  <c:v>8</c:v>
                </c:pt>
                <c:pt idx="8">
                  <c:v>12</c:v>
                </c:pt>
                <c:pt idx="9">
                  <c:v>10</c:v>
                </c:pt>
                <c:pt idx="10">
                  <c:v>14</c:v>
                </c:pt>
                <c:pt idx="11">
                  <c:v>14</c:v>
                </c:pt>
                <c:pt idx="12">
                  <c:v>10</c:v>
                </c:pt>
                <c:pt idx="13">
                  <c:v>9</c:v>
                </c:pt>
                <c:pt idx="14">
                  <c:v>11</c:v>
                </c:pt>
                <c:pt idx="15">
                  <c:v>14</c:v>
                </c:pt>
                <c:pt idx="16">
                  <c:v>10</c:v>
                </c:pt>
                <c:pt idx="1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32-4840-8BC8-B29F2FCDCEBA}"/>
            </c:ext>
          </c:extLst>
        </c:ser>
        <c:ser>
          <c:idx val="1"/>
          <c:order val="1"/>
          <c:tx>
            <c:v>Priemerna znamka</c:v>
          </c:tx>
          <c:spPr>
            <a:solidFill>
              <a:srgbClr val="CF5B2A"/>
            </a:solidFill>
            <a:ln>
              <a:solidFill>
                <a:srgbClr val="97411B"/>
              </a:solidFill>
            </a:ln>
          </c:spPr>
          <c:invertIfNegative val="0"/>
          <c:cat>
            <c:strRef>
              <c:f>Sheet1!$B$33:$B$50</c:f>
              <c:strCache>
                <c:ptCount val="18"/>
                <c:pt idx="0">
                  <c:v>Koncova Monika</c:v>
                </c:pt>
                <c:pt idx="1">
                  <c:v>Kovac Emanuel</c:v>
                </c:pt>
                <c:pt idx="2">
                  <c:v>Kovac Marek</c:v>
                </c:pt>
                <c:pt idx="3">
                  <c:v>Kovacova Denisa</c:v>
                </c:pt>
                <c:pt idx="4">
                  <c:v>Liso Anton</c:v>
                </c:pt>
                <c:pt idx="5">
                  <c:v>Mlynarova kristina</c:v>
                </c:pt>
                <c:pt idx="6">
                  <c:v>Novotna jana</c:v>
                </c:pt>
                <c:pt idx="7">
                  <c:v>Novy Anton</c:v>
                </c:pt>
                <c:pt idx="8">
                  <c:v>Novy Miro</c:v>
                </c:pt>
                <c:pt idx="9">
                  <c:v>Papulakova Vanesa</c:v>
                </c:pt>
                <c:pt idx="10">
                  <c:v>Sisovsky Rasto</c:v>
                </c:pt>
                <c:pt idx="11">
                  <c:v>Smutna Paula</c:v>
                </c:pt>
                <c:pt idx="12">
                  <c:v>Smutny Marian</c:v>
                </c:pt>
                <c:pt idx="13">
                  <c:v>Vesely David</c:v>
                </c:pt>
                <c:pt idx="14">
                  <c:v>Vesely Denis</c:v>
                </c:pt>
                <c:pt idx="15">
                  <c:v>Ziacik Oliver</c:v>
                </c:pt>
                <c:pt idx="16">
                  <c:v>Ziacikova Marianna</c:v>
                </c:pt>
                <c:pt idx="17">
                  <c:v>Zuffova Patricia</c:v>
                </c:pt>
              </c:strCache>
            </c:strRef>
          </c:cat>
          <c:val>
            <c:numRef>
              <c:f>Sheet1!$D$33:$D$50</c:f>
              <c:numCache>
                <c:formatCode>0.00</c:formatCode>
                <c:ptCount val="18"/>
                <c:pt idx="0">
                  <c:v>2.5</c:v>
                </c:pt>
                <c:pt idx="1">
                  <c:v>2.5</c:v>
                </c:pt>
                <c:pt idx="2">
                  <c:v>2.0833333333333335</c:v>
                </c:pt>
                <c:pt idx="3">
                  <c:v>2.25</c:v>
                </c:pt>
                <c:pt idx="4">
                  <c:v>2.6666666666666665</c:v>
                </c:pt>
                <c:pt idx="5">
                  <c:v>2.4166666666666665</c:v>
                </c:pt>
                <c:pt idx="6">
                  <c:v>3.1666666666666665</c:v>
                </c:pt>
                <c:pt idx="7">
                  <c:v>1.75</c:v>
                </c:pt>
                <c:pt idx="8">
                  <c:v>2</c:v>
                </c:pt>
                <c:pt idx="9">
                  <c:v>1.6666666666666667</c:v>
                </c:pt>
                <c:pt idx="10">
                  <c:v>2.9166666666666665</c:v>
                </c:pt>
                <c:pt idx="11">
                  <c:v>2.1666666666666665</c:v>
                </c:pt>
                <c:pt idx="12">
                  <c:v>2.25</c:v>
                </c:pt>
                <c:pt idx="13">
                  <c:v>2.9166666666666665</c:v>
                </c:pt>
                <c:pt idx="14">
                  <c:v>2.9166666666666665</c:v>
                </c:pt>
                <c:pt idx="15">
                  <c:v>1.9166666666666667</c:v>
                </c:pt>
                <c:pt idx="16">
                  <c:v>1.8333333333333333</c:v>
                </c:pt>
                <c:pt idx="17">
                  <c:v>2.8333333333333335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32-4840-8BC8-B29F2FCDC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shape val="box"/>
        <c:axId val="409927952"/>
        <c:axId val="431574864"/>
        <c:axId val="0"/>
      </c:bar3DChart>
      <c:catAx>
        <c:axId val="40992795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31574864"/>
        <c:crosses val="autoZero"/>
        <c:auto val="1"/>
        <c:lblAlgn val="ctr"/>
        <c:lblOffset val="100"/>
        <c:noMultiLvlLbl val="0"/>
      </c:catAx>
      <c:valAx>
        <c:axId val="431574864"/>
        <c:scaling>
          <c:orientation val="minMax"/>
        </c:scaling>
        <c:delete val="0"/>
        <c:axPos val="b"/>
        <c:majorGridlines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09927952"/>
        <c:crosses val="autoZero"/>
        <c:crossBetween val="between"/>
      </c:valAx>
      <c:spPr>
        <a:solidFill>
          <a:srgbClr val="E8E8E8"/>
        </a:solidFill>
      </c:spPr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8E8E8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14377</xdr:colOff>
      <xdr:row>31</xdr:row>
      <xdr:rowOff>28755</xdr:rowOff>
    </xdr:from>
    <xdr:to>
      <xdr:col>31</xdr:col>
      <xdr:colOff>513991</xdr:colOff>
      <xdr:row>56</xdr:row>
      <xdr:rowOff>155755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6046E8-9E14-7625-5BB7-6A4E902000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17875</xdr:colOff>
      <xdr:row>31</xdr:row>
      <xdr:rowOff>14377</xdr:rowOff>
    </xdr:from>
    <xdr:to>
      <xdr:col>22</xdr:col>
      <xdr:colOff>-1</xdr:colOff>
      <xdr:row>71</xdr:row>
      <xdr:rowOff>163423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420E63-DBF9-9710-EBA1-97C1FFA13E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udentiTable" displayName="StudentiTable" ref="B5:Y23" totalsRowShown="0">
  <autoFilter ref="B5:Y23" xr:uid="{00000000-0009-0000-0100-000001000000}"/>
  <tableColumns count="24">
    <tableColumn id="1" xr3:uid="{00000000-0010-0000-0000-000001000000}" name="Meno" dataDxfId="24"/>
    <tableColumn id="2" xr3:uid="{00000000-0010-0000-0000-000002000000}" name="Priezvisko" dataDxfId="23"/>
    <tableColumn id="3" xr3:uid="{00000000-0010-0000-0000-000003000000}" name="Znamka" dataDxfId="22"/>
    <tableColumn id="4" xr3:uid="{00000000-0010-0000-0000-000004000000}" name="Pokusy" dataDxfId="21"/>
    <tableColumn id="5" xr3:uid="{00000000-0010-0000-0000-000005000000}" name="Kredity" dataDxfId="20"/>
    <tableColumn id="6" xr3:uid="{00000000-0010-0000-0000-000006000000}" name="Znamka2" dataDxfId="19"/>
    <tableColumn id="7" xr3:uid="{00000000-0010-0000-0000-000007000000}" name="Pokusy2" dataDxfId="18"/>
    <tableColumn id="8" xr3:uid="{00000000-0010-0000-0000-000008000000}" name="Kredity2" dataDxfId="17"/>
    <tableColumn id="9" xr3:uid="{00000000-0010-0000-0000-000009000000}" name="Znamka3" dataDxfId="16"/>
    <tableColumn id="10" xr3:uid="{00000000-0010-0000-0000-00000A000000}" name="Pokusy3" dataDxfId="15"/>
    <tableColumn id="11" xr3:uid="{00000000-0010-0000-0000-00000B000000}" name="Kredity3" dataDxfId="14"/>
    <tableColumn id="12" xr3:uid="{00000000-0010-0000-0000-00000C000000}" name="Znamka4" dataDxfId="13"/>
    <tableColumn id="13" xr3:uid="{00000000-0010-0000-0000-00000D000000}" name="Pokusy4" dataDxfId="12"/>
    <tableColumn id="14" xr3:uid="{00000000-0010-0000-0000-00000E000000}" name="Kredity4" dataDxfId="11"/>
    <tableColumn id="15" xr3:uid="{00000000-0010-0000-0000-00000F000000}" name="Znamka5" dataDxfId="10"/>
    <tableColumn id="16" xr3:uid="{00000000-0010-0000-0000-000010000000}" name="Pokusy5" dataDxfId="9"/>
    <tableColumn id="17" xr3:uid="{00000000-0010-0000-0000-000011000000}" name="Kredity5" dataDxfId="8"/>
    <tableColumn id="18" xr3:uid="{00000000-0010-0000-0000-000012000000}" name="Znamka6" dataDxfId="7"/>
    <tableColumn id="19" xr3:uid="{00000000-0010-0000-0000-000013000000}" name="Pokusy6" dataDxfId="6"/>
    <tableColumn id="20" xr3:uid="{00000000-0010-0000-0000-000014000000}" name="Kredity6" dataDxfId="5"/>
    <tableColumn id="21" xr3:uid="{00000000-0010-0000-0000-000015000000}" name="Ziskane kredity" dataDxfId="4"/>
    <tableColumn id="22" xr3:uid="{00000000-0010-0000-0000-000016000000}" name="Priemerna znamka" dataDxfId="3"/>
    <tableColumn id="23" xr3:uid="{00000000-0010-0000-0000-000017000000}" name="Priemerny pocet pokusov" dataDxfId="2"/>
    <tableColumn id="24" xr3:uid="{00000000-0010-0000-0000-000018000000}" name="VSP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B1:AM64"/>
  <sheetViews>
    <sheetView zoomScale="31" workbookViewId="0">
      <selection activeCell="AD19" sqref="AD19"/>
    </sheetView>
  </sheetViews>
  <sheetFormatPr defaultRowHeight="14.4" x14ac:dyDescent="0.3"/>
  <cols>
    <col min="2" max="2" width="29.5546875" customWidth="1"/>
    <col min="3" max="7" width="13.109375" customWidth="1"/>
    <col min="8" max="8" width="12.44140625" customWidth="1"/>
    <col min="9" max="9" width="6.88671875" customWidth="1"/>
    <col min="10" max="10" width="10.44140625" customWidth="1"/>
    <col min="11" max="11" width="11.44140625" customWidth="1"/>
    <col min="12" max="12" width="6.88671875" customWidth="1"/>
    <col min="13" max="14" width="11.44140625" customWidth="1"/>
    <col min="15" max="15" width="6.88671875" customWidth="1"/>
    <col min="16" max="17" width="11.44140625" customWidth="1"/>
    <col min="18" max="18" width="6.88671875" customWidth="1"/>
    <col min="19" max="20" width="11.44140625" customWidth="1"/>
    <col min="21" max="21" width="6.88671875" customWidth="1"/>
    <col min="22" max="22" width="13.77734375" customWidth="1"/>
    <col min="23" max="23" width="20.88671875" customWidth="1"/>
    <col min="24" max="24" width="24" customWidth="1"/>
    <col min="25" max="25" width="16.5546875" customWidth="1"/>
  </cols>
  <sheetData>
    <row r="1" spans="2:39" ht="12" customHeight="1" x14ac:dyDescent="0.3">
      <c r="L1" t="s">
        <v>0</v>
      </c>
    </row>
    <row r="2" spans="2:39" ht="20.7" customHeight="1" x14ac:dyDescent="0.3">
      <c r="U2" s="1"/>
    </row>
    <row r="3" spans="2:39" x14ac:dyDescent="0.3"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7"/>
      <c r="U3" s="5"/>
      <c r="V3" s="6"/>
      <c r="W3" s="6"/>
      <c r="X3" s="6"/>
      <c r="Y3" s="6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4"/>
    </row>
    <row r="4" spans="2:39" ht="20.25" customHeight="1" x14ac:dyDescent="0.3">
      <c r="B4" s="8" t="s">
        <v>1</v>
      </c>
      <c r="C4" s="8" t="s">
        <v>2</v>
      </c>
      <c r="D4" s="9" t="s">
        <v>3</v>
      </c>
      <c r="E4" s="9"/>
      <c r="F4" s="9">
        <v>6</v>
      </c>
      <c r="G4" s="37" t="s">
        <v>4</v>
      </c>
      <c r="H4" s="37"/>
      <c r="I4" s="8">
        <v>7</v>
      </c>
      <c r="J4" s="37" t="s">
        <v>5</v>
      </c>
      <c r="K4" s="37"/>
      <c r="L4" s="8">
        <v>6</v>
      </c>
      <c r="M4" s="37" t="s">
        <v>6</v>
      </c>
      <c r="N4" s="37"/>
      <c r="O4" s="9">
        <v>7</v>
      </c>
      <c r="P4" s="37" t="s">
        <v>7</v>
      </c>
      <c r="Q4" s="37"/>
      <c r="R4" s="8">
        <v>6</v>
      </c>
      <c r="S4" s="37" t="s">
        <v>8</v>
      </c>
      <c r="T4" s="37"/>
      <c r="U4" s="38"/>
      <c r="V4" s="10" t="s">
        <v>9</v>
      </c>
      <c r="W4" s="10" t="s">
        <v>10</v>
      </c>
      <c r="X4" s="10" t="s">
        <v>11</v>
      </c>
      <c r="Y4" s="10" t="s">
        <v>12</v>
      </c>
    </row>
    <row r="5" spans="2:39" s="2" customFormat="1" ht="14.4" customHeight="1" x14ac:dyDescent="0.3">
      <c r="B5" s="15" t="s">
        <v>1</v>
      </c>
      <c r="C5" s="15" t="s">
        <v>2</v>
      </c>
      <c r="D5" s="15" t="s">
        <v>13</v>
      </c>
      <c r="E5" s="15" t="s">
        <v>14</v>
      </c>
      <c r="F5" s="15" t="s">
        <v>15</v>
      </c>
      <c r="G5" s="15" t="s">
        <v>16</v>
      </c>
      <c r="H5" s="15" t="s">
        <v>17</v>
      </c>
      <c r="I5" s="15" t="s">
        <v>18</v>
      </c>
      <c r="J5" s="15" t="s">
        <v>19</v>
      </c>
      <c r="K5" s="15" t="s">
        <v>20</v>
      </c>
      <c r="L5" s="15" t="s">
        <v>21</v>
      </c>
      <c r="M5" s="15" t="s">
        <v>22</v>
      </c>
      <c r="N5" s="15" t="s">
        <v>23</v>
      </c>
      <c r="O5" s="15" t="s">
        <v>24</v>
      </c>
      <c r="P5" s="15" t="s">
        <v>25</v>
      </c>
      <c r="Q5" s="15" t="s">
        <v>26</v>
      </c>
      <c r="R5" s="15" t="s">
        <v>27</v>
      </c>
      <c r="S5" s="15" t="s">
        <v>28</v>
      </c>
      <c r="T5" s="15" t="s">
        <v>29</v>
      </c>
      <c r="U5" s="11" t="s">
        <v>30</v>
      </c>
      <c r="V5" s="11" t="s">
        <v>9</v>
      </c>
      <c r="W5" s="11" t="s">
        <v>10</v>
      </c>
      <c r="X5" s="11" t="s">
        <v>11</v>
      </c>
      <c r="Y5" s="11" t="s">
        <v>12</v>
      </c>
    </row>
    <row r="6" spans="2:39" ht="14.4" customHeight="1" x14ac:dyDescent="0.3">
      <c r="B6" s="16" t="s">
        <v>31</v>
      </c>
      <c r="C6" s="16" t="s">
        <v>32</v>
      </c>
      <c r="D6" s="18">
        <v>3</v>
      </c>
      <c r="E6" s="17">
        <v>1</v>
      </c>
      <c r="F6" s="17">
        <v>6</v>
      </c>
      <c r="G6" s="18">
        <v>1</v>
      </c>
      <c r="H6" s="17">
        <v>1</v>
      </c>
      <c r="I6" s="17">
        <v>7</v>
      </c>
      <c r="J6" s="18">
        <v>2</v>
      </c>
      <c r="K6" s="17">
        <v>3</v>
      </c>
      <c r="L6" s="17">
        <v>6</v>
      </c>
      <c r="M6" s="18">
        <v>4</v>
      </c>
      <c r="N6" s="17">
        <v>2</v>
      </c>
      <c r="O6" s="17">
        <v>7</v>
      </c>
      <c r="P6" s="18">
        <v>3</v>
      </c>
      <c r="Q6" s="17">
        <v>3</v>
      </c>
      <c r="R6" s="17">
        <v>6</v>
      </c>
      <c r="S6" s="18">
        <v>2</v>
      </c>
      <c r="T6" s="17">
        <v>2</v>
      </c>
      <c r="U6" s="12">
        <v>5</v>
      </c>
      <c r="V6" s="12">
        <f t="shared" ref="V6:V23" si="0">IF(D6&lt;4,F6,0)+IF(G6&lt;4,I6,0)+IF(J6&lt;4,L6,0)+IF(M6&lt;4,O6,0)+IF(P6&lt;4,R6,0)+IF(S6&lt;4,U6,0)</f>
        <v>30</v>
      </c>
      <c r="W6" s="13">
        <f t="shared" ref="W6:W23" si="1">AVERAGE(D6,G6,J6,M6,P6,S6)</f>
        <v>2.5</v>
      </c>
      <c r="X6" s="13">
        <f t="shared" ref="X6:X23" si="2">AVERAGE(E6,H6,K6,N6,Q6,T6)</f>
        <v>2</v>
      </c>
      <c r="Y6" s="14">
        <f t="shared" ref="Y6:Y23" si="3">(D6*F6+G6*I6+J6*L6+M6*O6+P6*R6+S6*U6)/SUM(F6,I6,L6,O6,R6,U6)</f>
        <v>2.5135135135135136</v>
      </c>
    </row>
    <row r="7" spans="2:39" ht="14.4" customHeight="1" x14ac:dyDescent="0.3">
      <c r="B7" s="16" t="s">
        <v>33</v>
      </c>
      <c r="C7" s="16" t="s">
        <v>34</v>
      </c>
      <c r="D7" s="18">
        <v>1</v>
      </c>
      <c r="E7" s="17">
        <v>3</v>
      </c>
      <c r="F7" s="17">
        <v>6</v>
      </c>
      <c r="G7" s="18">
        <v>1</v>
      </c>
      <c r="H7" s="17">
        <v>1</v>
      </c>
      <c r="I7" s="17">
        <v>7</v>
      </c>
      <c r="J7" s="18">
        <v>3</v>
      </c>
      <c r="K7" s="17">
        <v>2</v>
      </c>
      <c r="L7" s="17">
        <v>6</v>
      </c>
      <c r="M7" s="18">
        <v>2</v>
      </c>
      <c r="N7" s="17">
        <v>3</v>
      </c>
      <c r="O7" s="17">
        <v>7</v>
      </c>
      <c r="P7" s="18">
        <v>4</v>
      </c>
      <c r="Q7" s="17">
        <v>3</v>
      </c>
      <c r="R7" s="17">
        <v>6</v>
      </c>
      <c r="S7" s="18">
        <v>4</v>
      </c>
      <c r="T7" s="17">
        <v>1</v>
      </c>
      <c r="U7" s="12">
        <v>5</v>
      </c>
      <c r="V7" s="12">
        <f t="shared" si="0"/>
        <v>26</v>
      </c>
      <c r="W7" s="13">
        <f t="shared" si="1"/>
        <v>2.5</v>
      </c>
      <c r="X7" s="13">
        <f t="shared" si="2"/>
        <v>2.1666666666666665</v>
      </c>
      <c r="Y7" s="14">
        <f t="shared" si="3"/>
        <v>2.4054054054054053</v>
      </c>
    </row>
    <row r="8" spans="2:39" ht="14.4" customHeight="1" x14ac:dyDescent="0.3">
      <c r="B8" s="16" t="s">
        <v>35</v>
      </c>
      <c r="C8" s="16" t="s">
        <v>34</v>
      </c>
      <c r="D8" s="18">
        <v>1</v>
      </c>
      <c r="E8" s="17">
        <v>2</v>
      </c>
      <c r="F8" s="17">
        <v>6</v>
      </c>
      <c r="G8" s="18">
        <v>2</v>
      </c>
      <c r="H8" s="17">
        <v>3</v>
      </c>
      <c r="I8" s="17">
        <v>7</v>
      </c>
      <c r="J8" s="18">
        <v>2</v>
      </c>
      <c r="K8" s="17">
        <v>2</v>
      </c>
      <c r="L8" s="17">
        <v>6</v>
      </c>
      <c r="M8" s="18">
        <v>4</v>
      </c>
      <c r="N8" s="17">
        <v>1</v>
      </c>
      <c r="O8" s="17">
        <v>7</v>
      </c>
      <c r="P8" s="18">
        <v>2</v>
      </c>
      <c r="Q8" s="17">
        <v>1</v>
      </c>
      <c r="R8" s="17">
        <v>6</v>
      </c>
      <c r="S8" s="18">
        <v>1.5</v>
      </c>
      <c r="T8" s="17">
        <v>3</v>
      </c>
      <c r="U8" s="12">
        <v>5</v>
      </c>
      <c r="V8" s="12">
        <f t="shared" si="0"/>
        <v>30</v>
      </c>
      <c r="W8" s="13">
        <f t="shared" si="1"/>
        <v>2.0833333333333335</v>
      </c>
      <c r="X8" s="13">
        <f t="shared" si="2"/>
        <v>2</v>
      </c>
      <c r="Y8" s="14">
        <f t="shared" si="3"/>
        <v>2.1486486486486487</v>
      </c>
    </row>
    <row r="9" spans="2:39" ht="14.4" customHeight="1" x14ac:dyDescent="0.3">
      <c r="B9" s="16" t="s">
        <v>36</v>
      </c>
      <c r="C9" s="16" t="s">
        <v>37</v>
      </c>
      <c r="D9" s="18">
        <v>1.5</v>
      </c>
      <c r="E9" s="17">
        <v>3</v>
      </c>
      <c r="F9" s="17">
        <v>6</v>
      </c>
      <c r="G9" s="18">
        <v>4</v>
      </c>
      <c r="H9" s="17">
        <v>2</v>
      </c>
      <c r="I9" s="17">
        <v>7</v>
      </c>
      <c r="J9" s="18">
        <v>1</v>
      </c>
      <c r="K9" s="17">
        <v>3</v>
      </c>
      <c r="L9" s="17">
        <v>6</v>
      </c>
      <c r="M9" s="18">
        <v>2</v>
      </c>
      <c r="N9" s="17">
        <v>2</v>
      </c>
      <c r="O9" s="17">
        <v>7</v>
      </c>
      <c r="P9" s="18">
        <v>4</v>
      </c>
      <c r="Q9" s="17">
        <v>2</v>
      </c>
      <c r="R9" s="17">
        <v>6</v>
      </c>
      <c r="S9" s="18">
        <v>1</v>
      </c>
      <c r="T9" s="17">
        <v>2</v>
      </c>
      <c r="U9" s="12">
        <v>5</v>
      </c>
      <c r="V9" s="12">
        <f t="shared" si="0"/>
        <v>24</v>
      </c>
      <c r="W9" s="13">
        <f t="shared" si="1"/>
        <v>2.25</v>
      </c>
      <c r="X9" s="13">
        <f t="shared" si="2"/>
        <v>2.3333333333333335</v>
      </c>
      <c r="Y9" s="14">
        <f t="shared" si="3"/>
        <v>2.3243243243243241</v>
      </c>
    </row>
    <row r="10" spans="2:39" ht="14.4" customHeight="1" x14ac:dyDescent="0.3">
      <c r="B10" s="16" t="s">
        <v>38</v>
      </c>
      <c r="C10" s="16" t="s">
        <v>39</v>
      </c>
      <c r="D10" s="19">
        <v>2</v>
      </c>
      <c r="E10" s="17">
        <v>2</v>
      </c>
      <c r="F10" s="17">
        <v>6</v>
      </c>
      <c r="G10" s="18">
        <v>1</v>
      </c>
      <c r="H10" s="17">
        <v>1</v>
      </c>
      <c r="I10" s="17">
        <v>7</v>
      </c>
      <c r="J10" s="18">
        <v>3</v>
      </c>
      <c r="K10" s="17">
        <v>1</v>
      </c>
      <c r="L10" s="17">
        <v>6</v>
      </c>
      <c r="M10" s="18">
        <v>4</v>
      </c>
      <c r="N10" s="17">
        <v>3</v>
      </c>
      <c r="O10" s="17">
        <v>7</v>
      </c>
      <c r="P10" s="18">
        <v>2</v>
      </c>
      <c r="Q10" s="17">
        <v>1</v>
      </c>
      <c r="R10" s="17">
        <v>6</v>
      </c>
      <c r="S10" s="18">
        <v>4</v>
      </c>
      <c r="T10" s="17">
        <v>3</v>
      </c>
      <c r="U10" s="12">
        <v>5</v>
      </c>
      <c r="V10" s="12">
        <f t="shared" si="0"/>
        <v>25</v>
      </c>
      <c r="W10" s="13">
        <f t="shared" si="1"/>
        <v>2.6666666666666665</v>
      </c>
      <c r="X10" s="13">
        <f t="shared" si="2"/>
        <v>1.8333333333333333</v>
      </c>
      <c r="Y10" s="14">
        <f t="shared" si="3"/>
        <v>2.6216216216216215</v>
      </c>
    </row>
    <row r="11" spans="2:39" ht="14.4" customHeight="1" x14ac:dyDescent="0.3">
      <c r="B11" s="16" t="s">
        <v>40</v>
      </c>
      <c r="C11" s="16" t="s">
        <v>41</v>
      </c>
      <c r="D11" s="18">
        <v>2</v>
      </c>
      <c r="E11" s="17">
        <v>1</v>
      </c>
      <c r="F11" s="17">
        <v>6</v>
      </c>
      <c r="G11" s="18">
        <v>2</v>
      </c>
      <c r="H11" s="17">
        <v>3</v>
      </c>
      <c r="I11" s="17">
        <v>7</v>
      </c>
      <c r="J11" s="18">
        <v>4</v>
      </c>
      <c r="K11" s="17">
        <v>2</v>
      </c>
      <c r="L11" s="17">
        <v>6</v>
      </c>
      <c r="M11" s="18">
        <v>3</v>
      </c>
      <c r="N11" s="17">
        <v>3</v>
      </c>
      <c r="O11" s="17">
        <v>7</v>
      </c>
      <c r="P11" s="18">
        <v>2</v>
      </c>
      <c r="Q11" s="17">
        <v>1</v>
      </c>
      <c r="R11" s="17">
        <v>6</v>
      </c>
      <c r="S11" s="18">
        <v>1.5</v>
      </c>
      <c r="T11" s="17">
        <v>1</v>
      </c>
      <c r="U11" s="12">
        <v>5</v>
      </c>
      <c r="V11" s="12">
        <f t="shared" si="0"/>
        <v>31</v>
      </c>
      <c r="W11" s="13">
        <f t="shared" si="1"/>
        <v>2.4166666666666665</v>
      </c>
      <c r="X11" s="13">
        <f t="shared" si="2"/>
        <v>1.8333333333333333</v>
      </c>
      <c r="Y11" s="14">
        <f t="shared" si="3"/>
        <v>2.4459459459459461</v>
      </c>
    </row>
    <row r="12" spans="2:39" ht="14.4" customHeight="1" x14ac:dyDescent="0.3">
      <c r="B12" s="16" t="s">
        <v>42</v>
      </c>
      <c r="C12" s="16" t="s">
        <v>43</v>
      </c>
      <c r="D12" s="18">
        <v>4</v>
      </c>
      <c r="E12" s="17">
        <v>2</v>
      </c>
      <c r="F12" s="17">
        <v>6</v>
      </c>
      <c r="G12" s="18">
        <v>3</v>
      </c>
      <c r="H12" s="17">
        <v>1</v>
      </c>
      <c r="I12" s="17">
        <v>7</v>
      </c>
      <c r="J12" s="18">
        <v>3</v>
      </c>
      <c r="K12" s="17">
        <v>1</v>
      </c>
      <c r="L12" s="17">
        <v>6</v>
      </c>
      <c r="M12" s="18">
        <v>2</v>
      </c>
      <c r="N12" s="17">
        <v>2</v>
      </c>
      <c r="O12" s="17">
        <v>7</v>
      </c>
      <c r="P12" s="18">
        <v>4</v>
      </c>
      <c r="Q12" s="17">
        <v>3</v>
      </c>
      <c r="R12" s="17">
        <v>6</v>
      </c>
      <c r="S12" s="18">
        <v>3</v>
      </c>
      <c r="T12" s="17">
        <v>3</v>
      </c>
      <c r="U12" s="12">
        <v>5</v>
      </c>
      <c r="V12" s="12">
        <f t="shared" si="0"/>
        <v>25</v>
      </c>
      <c r="W12" s="13">
        <f t="shared" si="1"/>
        <v>3.1666666666666665</v>
      </c>
      <c r="X12" s="13">
        <f t="shared" si="2"/>
        <v>2</v>
      </c>
      <c r="Y12" s="14">
        <f t="shared" si="3"/>
        <v>3.1351351351351351</v>
      </c>
    </row>
    <row r="13" spans="2:39" ht="14.4" customHeight="1" x14ac:dyDescent="0.3">
      <c r="B13" s="16" t="s">
        <v>38</v>
      </c>
      <c r="C13" s="16" t="s">
        <v>44</v>
      </c>
      <c r="D13" s="18">
        <v>2</v>
      </c>
      <c r="E13" s="17">
        <v>2</v>
      </c>
      <c r="F13" s="17">
        <v>6</v>
      </c>
      <c r="G13" s="18">
        <v>1.5</v>
      </c>
      <c r="H13" s="17">
        <v>2</v>
      </c>
      <c r="I13" s="17">
        <v>7</v>
      </c>
      <c r="J13" s="18">
        <v>1</v>
      </c>
      <c r="K13" s="17">
        <v>1</v>
      </c>
      <c r="L13" s="17">
        <v>6</v>
      </c>
      <c r="M13" s="18">
        <v>3</v>
      </c>
      <c r="N13" s="17">
        <v>1</v>
      </c>
      <c r="O13" s="17">
        <v>7</v>
      </c>
      <c r="P13" s="18">
        <v>1</v>
      </c>
      <c r="Q13" s="17">
        <v>1</v>
      </c>
      <c r="R13" s="17">
        <v>6</v>
      </c>
      <c r="S13" s="18">
        <v>2</v>
      </c>
      <c r="T13" s="17">
        <v>1</v>
      </c>
      <c r="U13" s="12">
        <v>5</v>
      </c>
      <c r="V13" s="12">
        <f t="shared" si="0"/>
        <v>37</v>
      </c>
      <c r="W13" s="13">
        <f t="shared" si="1"/>
        <v>1.75</v>
      </c>
      <c r="X13" s="13">
        <f t="shared" si="2"/>
        <v>1.3333333333333333</v>
      </c>
      <c r="Y13" s="14">
        <f t="shared" si="3"/>
        <v>1.7702702702702702</v>
      </c>
    </row>
    <row r="14" spans="2:39" ht="14.4" customHeight="1" x14ac:dyDescent="0.3">
      <c r="B14" s="16" t="s">
        <v>45</v>
      </c>
      <c r="C14" s="16" t="s">
        <v>44</v>
      </c>
      <c r="D14" s="18">
        <v>2</v>
      </c>
      <c r="E14" s="17">
        <v>1</v>
      </c>
      <c r="F14" s="17">
        <v>6</v>
      </c>
      <c r="G14" s="18">
        <v>3</v>
      </c>
      <c r="H14" s="17">
        <v>1</v>
      </c>
      <c r="I14" s="17">
        <v>7</v>
      </c>
      <c r="J14" s="18">
        <v>1</v>
      </c>
      <c r="K14" s="17">
        <v>3</v>
      </c>
      <c r="L14" s="17">
        <v>6</v>
      </c>
      <c r="M14" s="18">
        <v>1</v>
      </c>
      <c r="N14" s="17">
        <v>3</v>
      </c>
      <c r="O14" s="17">
        <v>7</v>
      </c>
      <c r="P14" s="18">
        <v>3</v>
      </c>
      <c r="Q14" s="17">
        <v>3</v>
      </c>
      <c r="R14" s="17">
        <v>6</v>
      </c>
      <c r="S14" s="18">
        <v>2</v>
      </c>
      <c r="T14" s="17">
        <v>1</v>
      </c>
      <c r="U14" s="12">
        <v>5</v>
      </c>
      <c r="V14" s="12">
        <f t="shared" si="0"/>
        <v>37</v>
      </c>
      <c r="W14" s="13">
        <f t="shared" si="1"/>
        <v>2</v>
      </c>
      <c r="X14" s="13">
        <f t="shared" si="2"/>
        <v>2</v>
      </c>
      <c r="Y14" s="14">
        <f t="shared" si="3"/>
        <v>2</v>
      </c>
    </row>
    <row r="15" spans="2:39" ht="14.4" customHeight="1" x14ac:dyDescent="0.3">
      <c r="B15" s="16" t="s">
        <v>46</v>
      </c>
      <c r="C15" s="16" t="s">
        <v>47</v>
      </c>
      <c r="D15" s="18">
        <v>1</v>
      </c>
      <c r="E15" s="17">
        <v>2</v>
      </c>
      <c r="F15" s="17">
        <v>6</v>
      </c>
      <c r="G15" s="18">
        <v>2</v>
      </c>
      <c r="H15" s="17">
        <v>2</v>
      </c>
      <c r="I15" s="17">
        <v>7</v>
      </c>
      <c r="J15" s="18">
        <v>3</v>
      </c>
      <c r="K15" s="17">
        <v>1</v>
      </c>
      <c r="L15" s="17">
        <v>6</v>
      </c>
      <c r="M15" s="18">
        <v>1</v>
      </c>
      <c r="N15" s="17">
        <v>2</v>
      </c>
      <c r="O15" s="17">
        <v>7</v>
      </c>
      <c r="P15" s="18">
        <v>2</v>
      </c>
      <c r="Q15" s="17">
        <v>2</v>
      </c>
      <c r="R15" s="17">
        <v>6</v>
      </c>
      <c r="S15" s="18">
        <v>1</v>
      </c>
      <c r="T15" s="17">
        <v>1</v>
      </c>
      <c r="U15" s="12">
        <v>5</v>
      </c>
      <c r="V15" s="12">
        <f t="shared" si="0"/>
        <v>37</v>
      </c>
      <c r="W15" s="13">
        <f t="shared" si="1"/>
        <v>1.6666666666666667</v>
      </c>
      <c r="X15" s="13">
        <f t="shared" si="2"/>
        <v>1.6666666666666667</v>
      </c>
      <c r="Y15" s="14">
        <f t="shared" si="3"/>
        <v>1.6756756756756757</v>
      </c>
    </row>
    <row r="16" spans="2:39" ht="14.4" customHeight="1" x14ac:dyDescent="0.3">
      <c r="B16" s="16" t="s">
        <v>48</v>
      </c>
      <c r="C16" s="16" t="s">
        <v>49</v>
      </c>
      <c r="D16" s="18">
        <v>2</v>
      </c>
      <c r="E16" s="17">
        <v>3</v>
      </c>
      <c r="F16" s="17">
        <v>6</v>
      </c>
      <c r="G16" s="18">
        <v>2</v>
      </c>
      <c r="H16" s="17">
        <v>2</v>
      </c>
      <c r="I16" s="17">
        <v>7</v>
      </c>
      <c r="J16" s="18">
        <v>4</v>
      </c>
      <c r="K16" s="17">
        <v>3</v>
      </c>
      <c r="L16" s="17">
        <v>6</v>
      </c>
      <c r="M16" s="18">
        <v>4</v>
      </c>
      <c r="N16" s="17">
        <v>2</v>
      </c>
      <c r="O16" s="17">
        <v>7</v>
      </c>
      <c r="P16" s="18">
        <v>2</v>
      </c>
      <c r="Q16" s="17">
        <v>1</v>
      </c>
      <c r="R16" s="17">
        <v>6</v>
      </c>
      <c r="S16" s="18">
        <v>3.5</v>
      </c>
      <c r="T16" s="17">
        <v>3</v>
      </c>
      <c r="U16" s="12">
        <v>5</v>
      </c>
      <c r="V16" s="12">
        <f t="shared" si="0"/>
        <v>24</v>
      </c>
      <c r="W16" s="13">
        <f t="shared" si="1"/>
        <v>2.9166666666666665</v>
      </c>
      <c r="X16" s="13">
        <f t="shared" si="2"/>
        <v>2.3333333333333335</v>
      </c>
      <c r="Y16" s="14">
        <f t="shared" si="3"/>
        <v>2.9054054054054053</v>
      </c>
    </row>
    <row r="17" spans="2:25" ht="14.4" customHeight="1" x14ac:dyDescent="0.3">
      <c r="B17" s="16" t="s">
        <v>50</v>
      </c>
      <c r="C17" s="16" t="s">
        <v>51</v>
      </c>
      <c r="D17" s="18">
        <v>2</v>
      </c>
      <c r="E17" s="17">
        <v>2</v>
      </c>
      <c r="F17" s="17">
        <v>6</v>
      </c>
      <c r="G17" s="18">
        <v>2</v>
      </c>
      <c r="H17" s="17">
        <v>3</v>
      </c>
      <c r="I17" s="17">
        <v>7</v>
      </c>
      <c r="J17" s="18">
        <v>2</v>
      </c>
      <c r="K17" s="17">
        <v>2</v>
      </c>
      <c r="L17" s="17">
        <v>6</v>
      </c>
      <c r="M17" s="18">
        <v>4</v>
      </c>
      <c r="N17" s="17">
        <v>2</v>
      </c>
      <c r="O17" s="17">
        <v>7</v>
      </c>
      <c r="P17" s="18">
        <v>2</v>
      </c>
      <c r="Q17" s="17">
        <v>2</v>
      </c>
      <c r="R17" s="17">
        <v>6</v>
      </c>
      <c r="S17" s="18">
        <v>1</v>
      </c>
      <c r="T17" s="17">
        <v>3</v>
      </c>
      <c r="U17" s="12">
        <v>5</v>
      </c>
      <c r="V17" s="12">
        <f t="shared" si="0"/>
        <v>30</v>
      </c>
      <c r="W17" s="13">
        <f t="shared" si="1"/>
        <v>2.1666666666666665</v>
      </c>
      <c r="X17" s="13">
        <f t="shared" si="2"/>
        <v>2.3333333333333335</v>
      </c>
      <c r="Y17" s="14">
        <f t="shared" si="3"/>
        <v>2.2432432432432434</v>
      </c>
    </row>
    <row r="18" spans="2:25" ht="14.4" customHeight="1" x14ac:dyDescent="0.3">
      <c r="B18" s="16" t="s">
        <v>52</v>
      </c>
      <c r="C18" s="16" t="s">
        <v>53</v>
      </c>
      <c r="D18" s="18">
        <v>2</v>
      </c>
      <c r="E18" s="17">
        <v>1</v>
      </c>
      <c r="F18" s="17">
        <v>6</v>
      </c>
      <c r="G18" s="18">
        <v>1</v>
      </c>
      <c r="H18" s="17">
        <v>2</v>
      </c>
      <c r="I18" s="17">
        <v>7</v>
      </c>
      <c r="J18" s="18">
        <v>2</v>
      </c>
      <c r="K18" s="17">
        <v>1</v>
      </c>
      <c r="L18" s="17">
        <v>6</v>
      </c>
      <c r="M18" s="18">
        <v>1.5</v>
      </c>
      <c r="N18" s="17">
        <v>2</v>
      </c>
      <c r="O18" s="17">
        <v>7</v>
      </c>
      <c r="P18" s="18">
        <v>4</v>
      </c>
      <c r="Q18" s="17">
        <v>2</v>
      </c>
      <c r="R18" s="17">
        <v>6</v>
      </c>
      <c r="S18" s="18">
        <v>3</v>
      </c>
      <c r="T18" s="17">
        <v>2</v>
      </c>
      <c r="U18" s="12">
        <v>5</v>
      </c>
      <c r="V18" s="12">
        <f t="shared" si="0"/>
        <v>31</v>
      </c>
      <c r="W18" s="13">
        <f t="shared" si="1"/>
        <v>2.25</v>
      </c>
      <c r="X18" s="13">
        <f t="shared" si="2"/>
        <v>1.6666666666666667</v>
      </c>
      <c r="Y18" s="14">
        <f t="shared" si="3"/>
        <v>2.1756756756756759</v>
      </c>
    </row>
    <row r="19" spans="2:25" ht="14.4" customHeight="1" x14ac:dyDescent="0.3">
      <c r="B19" s="16" t="s">
        <v>54</v>
      </c>
      <c r="C19" s="16" t="s">
        <v>55</v>
      </c>
      <c r="D19" s="18">
        <v>3</v>
      </c>
      <c r="E19" s="17">
        <v>1</v>
      </c>
      <c r="F19" s="17">
        <v>6</v>
      </c>
      <c r="G19" s="18">
        <v>2</v>
      </c>
      <c r="H19" s="17">
        <v>3</v>
      </c>
      <c r="I19" s="17">
        <v>7</v>
      </c>
      <c r="J19" s="18">
        <v>4</v>
      </c>
      <c r="K19" s="17">
        <v>1</v>
      </c>
      <c r="L19" s="17">
        <v>6</v>
      </c>
      <c r="M19" s="18">
        <v>1.5</v>
      </c>
      <c r="N19" s="17">
        <v>1</v>
      </c>
      <c r="O19" s="17">
        <v>7</v>
      </c>
      <c r="P19" s="18">
        <v>4</v>
      </c>
      <c r="Q19" s="17">
        <v>1</v>
      </c>
      <c r="R19" s="17">
        <v>6</v>
      </c>
      <c r="S19" s="18">
        <v>3</v>
      </c>
      <c r="T19" s="17">
        <v>2</v>
      </c>
      <c r="U19" s="12">
        <v>5</v>
      </c>
      <c r="V19" s="12">
        <f t="shared" si="0"/>
        <v>25</v>
      </c>
      <c r="W19" s="13">
        <f t="shared" si="1"/>
        <v>2.9166666666666665</v>
      </c>
      <c r="X19" s="13">
        <f t="shared" si="2"/>
        <v>1.5</v>
      </c>
      <c r="Y19" s="14">
        <f t="shared" si="3"/>
        <v>2.8513513513513513</v>
      </c>
    </row>
    <row r="20" spans="2:25" ht="14.4" customHeight="1" x14ac:dyDescent="0.3">
      <c r="B20" s="16" t="s">
        <v>56</v>
      </c>
      <c r="C20" s="16" t="s">
        <v>55</v>
      </c>
      <c r="D20" s="18">
        <v>3</v>
      </c>
      <c r="E20" s="17">
        <v>1</v>
      </c>
      <c r="F20" s="17">
        <v>6</v>
      </c>
      <c r="G20" s="18">
        <v>4</v>
      </c>
      <c r="H20" s="17">
        <v>2</v>
      </c>
      <c r="I20" s="17">
        <v>7</v>
      </c>
      <c r="J20" s="18">
        <v>4</v>
      </c>
      <c r="K20" s="17">
        <v>4</v>
      </c>
      <c r="L20" s="17">
        <v>6</v>
      </c>
      <c r="M20" s="18">
        <v>1</v>
      </c>
      <c r="N20" s="17">
        <v>1</v>
      </c>
      <c r="O20" s="17">
        <v>7</v>
      </c>
      <c r="P20" s="18">
        <v>1.5</v>
      </c>
      <c r="Q20" s="17">
        <v>1</v>
      </c>
      <c r="R20" s="17">
        <v>6</v>
      </c>
      <c r="S20" s="18">
        <v>4</v>
      </c>
      <c r="T20" s="17">
        <v>2</v>
      </c>
      <c r="U20" s="12">
        <v>5</v>
      </c>
      <c r="V20" s="12">
        <f t="shared" si="0"/>
        <v>19</v>
      </c>
      <c r="W20" s="13">
        <f t="shared" si="1"/>
        <v>2.9166666666666665</v>
      </c>
      <c r="X20" s="13">
        <f t="shared" si="2"/>
        <v>1.8333333333333333</v>
      </c>
      <c r="Y20" s="14">
        <f t="shared" si="3"/>
        <v>2.8648648648648649</v>
      </c>
    </row>
    <row r="21" spans="2:25" ht="14.4" customHeight="1" x14ac:dyDescent="0.3">
      <c r="B21" s="16" t="s">
        <v>57</v>
      </c>
      <c r="C21" s="16" t="s">
        <v>58</v>
      </c>
      <c r="D21" s="18">
        <v>3</v>
      </c>
      <c r="E21" s="17">
        <v>1</v>
      </c>
      <c r="F21" s="17">
        <v>6</v>
      </c>
      <c r="G21" s="18">
        <v>2</v>
      </c>
      <c r="H21" s="17">
        <v>3</v>
      </c>
      <c r="I21" s="17">
        <v>7</v>
      </c>
      <c r="J21" s="18">
        <v>1</v>
      </c>
      <c r="K21" s="17">
        <v>2</v>
      </c>
      <c r="L21" s="17">
        <v>6</v>
      </c>
      <c r="M21" s="18">
        <v>1.5</v>
      </c>
      <c r="N21" s="17">
        <v>3</v>
      </c>
      <c r="O21" s="17">
        <v>7</v>
      </c>
      <c r="P21" s="18">
        <v>3</v>
      </c>
      <c r="Q21" s="17">
        <v>2</v>
      </c>
      <c r="R21" s="17">
        <v>6</v>
      </c>
      <c r="S21" s="18">
        <v>1</v>
      </c>
      <c r="T21" s="17">
        <v>3</v>
      </c>
      <c r="U21" s="12">
        <v>5</v>
      </c>
      <c r="V21" s="12">
        <f t="shared" si="0"/>
        <v>37</v>
      </c>
      <c r="W21" s="13">
        <f t="shared" si="1"/>
        <v>1.9166666666666667</v>
      </c>
      <c r="X21" s="13">
        <f t="shared" si="2"/>
        <v>2.3333333333333335</v>
      </c>
      <c r="Y21" s="14">
        <f t="shared" si="3"/>
        <v>1.9324324324324325</v>
      </c>
    </row>
    <row r="22" spans="2:25" ht="14.4" customHeight="1" x14ac:dyDescent="0.3">
      <c r="B22" s="16" t="s">
        <v>59</v>
      </c>
      <c r="C22" s="16" t="s">
        <v>60</v>
      </c>
      <c r="D22" s="18">
        <v>1</v>
      </c>
      <c r="E22" s="17">
        <v>3</v>
      </c>
      <c r="F22" s="17">
        <v>6</v>
      </c>
      <c r="G22" s="18">
        <v>2</v>
      </c>
      <c r="H22" s="17">
        <v>1</v>
      </c>
      <c r="I22" s="17">
        <v>7</v>
      </c>
      <c r="J22" s="18">
        <v>2</v>
      </c>
      <c r="K22" s="17">
        <v>2</v>
      </c>
      <c r="L22" s="17">
        <v>6</v>
      </c>
      <c r="M22" s="18">
        <v>4</v>
      </c>
      <c r="N22" s="17">
        <v>1</v>
      </c>
      <c r="O22" s="17">
        <v>7</v>
      </c>
      <c r="P22" s="18">
        <v>1</v>
      </c>
      <c r="Q22" s="17">
        <v>2</v>
      </c>
      <c r="R22" s="17">
        <v>6</v>
      </c>
      <c r="S22" s="18">
        <v>1</v>
      </c>
      <c r="T22" s="17">
        <v>1</v>
      </c>
      <c r="U22" s="12">
        <v>5</v>
      </c>
      <c r="V22" s="12">
        <f t="shared" si="0"/>
        <v>30</v>
      </c>
      <c r="W22" s="13">
        <f t="shared" si="1"/>
        <v>1.8333333333333333</v>
      </c>
      <c r="X22" s="13">
        <f t="shared" si="2"/>
        <v>1.6666666666666667</v>
      </c>
      <c r="Y22" s="14">
        <f t="shared" si="3"/>
        <v>1.9189189189189189</v>
      </c>
    </row>
    <row r="23" spans="2:25" ht="14.4" customHeight="1" x14ac:dyDescent="0.3">
      <c r="B23" s="16" t="s">
        <v>61</v>
      </c>
      <c r="C23" s="16" t="s">
        <v>62</v>
      </c>
      <c r="D23" s="18">
        <v>2</v>
      </c>
      <c r="E23" s="17">
        <v>1</v>
      </c>
      <c r="F23" s="17">
        <v>6</v>
      </c>
      <c r="G23" s="18">
        <v>4</v>
      </c>
      <c r="H23" s="17">
        <v>2</v>
      </c>
      <c r="I23" s="17">
        <v>7</v>
      </c>
      <c r="J23" s="18">
        <v>1</v>
      </c>
      <c r="K23" s="17">
        <v>1</v>
      </c>
      <c r="L23" s="17">
        <v>6</v>
      </c>
      <c r="M23" s="18">
        <v>2</v>
      </c>
      <c r="N23" s="17">
        <v>1</v>
      </c>
      <c r="O23" s="17">
        <v>7</v>
      </c>
      <c r="P23" s="18">
        <v>4</v>
      </c>
      <c r="Q23" s="17">
        <v>1</v>
      </c>
      <c r="R23" s="17">
        <v>6</v>
      </c>
      <c r="S23" s="18">
        <v>4</v>
      </c>
      <c r="T23" s="17">
        <v>1</v>
      </c>
      <c r="U23" s="12">
        <v>5</v>
      </c>
      <c r="V23" s="12">
        <f t="shared" si="0"/>
        <v>19</v>
      </c>
      <c r="W23" s="13">
        <f t="shared" si="1"/>
        <v>2.8333333333333335</v>
      </c>
      <c r="X23" s="13">
        <f t="shared" si="2"/>
        <v>1.1666666666666667</v>
      </c>
      <c r="Y23" s="14">
        <f t="shared" si="3"/>
        <v>2.810810810810811</v>
      </c>
    </row>
    <row r="24" spans="2:25" ht="15" thickBot="1" x14ac:dyDescent="0.35"/>
    <row r="25" spans="2:25" ht="15" thickBot="1" x14ac:dyDescent="0.35">
      <c r="B25" s="42" t="s">
        <v>63</v>
      </c>
      <c r="C25" s="43" t="s">
        <v>3</v>
      </c>
      <c r="D25" s="43" t="s">
        <v>4</v>
      </c>
      <c r="E25" s="43" t="s">
        <v>5</v>
      </c>
      <c r="F25" s="43" t="s">
        <v>6</v>
      </c>
      <c r="G25" s="43" t="s">
        <v>64</v>
      </c>
      <c r="H25" s="53" t="s">
        <v>8</v>
      </c>
      <c r="I25" s="53"/>
    </row>
    <row r="26" spans="2:25" ht="15" thickBot="1" x14ac:dyDescent="0.35">
      <c r="B26" s="45" t="s">
        <v>10</v>
      </c>
      <c r="C26" s="44">
        <f>AVERAGE(D6:D23)</f>
        <v>2.0833333333333335</v>
      </c>
      <c r="D26" s="41">
        <f>AVERAGE(G6:G23)</f>
        <v>2.1944444444444446</v>
      </c>
      <c r="E26" s="41">
        <f>AVERAGE(J6:J23)</f>
        <v>2.3888888888888888</v>
      </c>
      <c r="F26" s="41">
        <f>AVERAGE(M6:M23)</f>
        <v>2.5277777777777777</v>
      </c>
      <c r="G26" s="41">
        <f>AVERAGE(P6:P23)</f>
        <v>2.6944444444444446</v>
      </c>
      <c r="H26" s="54">
        <f>AVERAGE(S6:S23)</f>
        <v>2.3611111111111112</v>
      </c>
      <c r="I26" s="55"/>
    </row>
    <row r="27" spans="2:25" ht="15" thickBot="1" x14ac:dyDescent="0.35">
      <c r="B27" s="45" t="s">
        <v>11</v>
      </c>
      <c r="C27" s="46">
        <f>AVERAGE(E6:E23)</f>
        <v>1.7777777777777777</v>
      </c>
      <c r="D27" s="40">
        <f>AVERAGE(H6:H23)</f>
        <v>1.9444444444444444</v>
      </c>
      <c r="E27" s="40">
        <f>AVERAGE(K6:K23)</f>
        <v>1.9444444444444444</v>
      </c>
      <c r="F27" s="40">
        <f>AVERAGE(N6:N23)</f>
        <v>1.9444444444444444</v>
      </c>
      <c r="G27" s="40">
        <f>AVERAGE(Q6:Q23)</f>
        <v>1.7777777777777777</v>
      </c>
      <c r="H27" s="54">
        <f>AVERAGE(T6:T23)</f>
        <v>1.9444444444444444</v>
      </c>
      <c r="I27" s="55"/>
    </row>
    <row r="28" spans="2:25" ht="15" thickBot="1" x14ac:dyDescent="0.35"/>
    <row r="29" spans="2:25" ht="15" thickBot="1" x14ac:dyDescent="0.35">
      <c r="B29" s="20" t="s">
        <v>65</v>
      </c>
      <c r="C29" s="39">
        <f>AVERAGE(Y6:Y23)</f>
        <v>2.3746246246246252</v>
      </c>
    </row>
    <row r="32" spans="2:25" ht="15" thickBot="1" x14ac:dyDescent="0.35">
      <c r="B32" s="21" t="s">
        <v>66</v>
      </c>
      <c r="C32" s="21" t="s">
        <v>12</v>
      </c>
      <c r="D32" s="21" t="s">
        <v>10</v>
      </c>
      <c r="E32" s="21" t="s">
        <v>67</v>
      </c>
    </row>
    <row r="33" spans="2:5" x14ac:dyDescent="0.3">
      <c r="B33" s="50" t="str">
        <f t="shared" ref="B33:B50" si="4">C6&amp;" "&amp;B6</f>
        <v>Koncova Monika</v>
      </c>
      <c r="C33" s="49">
        <f t="shared" ref="C33:C50" si="5">Y6</f>
        <v>2.5135135135135136</v>
      </c>
      <c r="D33" s="47">
        <f t="shared" ref="D33:D50" si="6">W6</f>
        <v>2.5</v>
      </c>
      <c r="E33" s="48">
        <f t="shared" ref="E33:E50" si="7">SUM(E6,H6,K6,N6,Q6,T6)</f>
        <v>12</v>
      </c>
    </row>
    <row r="34" spans="2:5" x14ac:dyDescent="0.3">
      <c r="B34" s="51" t="str">
        <f t="shared" si="4"/>
        <v>Kovac Emanuel</v>
      </c>
      <c r="C34" s="49">
        <f t="shared" si="5"/>
        <v>2.4054054054054053</v>
      </c>
      <c r="D34" s="47">
        <f t="shared" si="6"/>
        <v>2.5</v>
      </c>
      <c r="E34" s="48">
        <f t="shared" si="7"/>
        <v>13</v>
      </c>
    </row>
    <row r="35" spans="2:5" x14ac:dyDescent="0.3">
      <c r="B35" s="51" t="str">
        <f t="shared" si="4"/>
        <v>Kovac Marek</v>
      </c>
      <c r="C35" s="49">
        <f t="shared" si="5"/>
        <v>2.1486486486486487</v>
      </c>
      <c r="D35" s="47">
        <f t="shared" si="6"/>
        <v>2.0833333333333335</v>
      </c>
      <c r="E35" s="48">
        <f t="shared" si="7"/>
        <v>12</v>
      </c>
    </row>
    <row r="36" spans="2:5" x14ac:dyDescent="0.3">
      <c r="B36" s="51" t="str">
        <f t="shared" si="4"/>
        <v>Kovacova Denisa</v>
      </c>
      <c r="C36" s="49">
        <f t="shared" si="5"/>
        <v>2.3243243243243241</v>
      </c>
      <c r="D36" s="47">
        <f t="shared" si="6"/>
        <v>2.25</v>
      </c>
      <c r="E36" s="48">
        <f t="shared" si="7"/>
        <v>14</v>
      </c>
    </row>
    <row r="37" spans="2:5" x14ac:dyDescent="0.3">
      <c r="B37" s="51" t="str">
        <f t="shared" si="4"/>
        <v>Liso Anton</v>
      </c>
      <c r="C37" s="49">
        <f t="shared" si="5"/>
        <v>2.6216216216216215</v>
      </c>
      <c r="D37" s="47">
        <f t="shared" si="6"/>
        <v>2.6666666666666665</v>
      </c>
      <c r="E37" s="48">
        <f t="shared" si="7"/>
        <v>11</v>
      </c>
    </row>
    <row r="38" spans="2:5" x14ac:dyDescent="0.3">
      <c r="B38" s="51" t="str">
        <f t="shared" si="4"/>
        <v>Mlynarova kristina</v>
      </c>
      <c r="C38" s="49">
        <f t="shared" si="5"/>
        <v>2.4459459459459461</v>
      </c>
      <c r="D38" s="47">
        <f t="shared" si="6"/>
        <v>2.4166666666666665</v>
      </c>
      <c r="E38" s="48">
        <f t="shared" si="7"/>
        <v>11</v>
      </c>
    </row>
    <row r="39" spans="2:5" x14ac:dyDescent="0.3">
      <c r="B39" s="51" t="str">
        <f t="shared" si="4"/>
        <v>Novotna jana</v>
      </c>
      <c r="C39" s="49">
        <f t="shared" si="5"/>
        <v>3.1351351351351351</v>
      </c>
      <c r="D39" s="47">
        <f t="shared" si="6"/>
        <v>3.1666666666666665</v>
      </c>
      <c r="E39" s="48">
        <f t="shared" si="7"/>
        <v>12</v>
      </c>
    </row>
    <row r="40" spans="2:5" x14ac:dyDescent="0.3">
      <c r="B40" s="51" t="str">
        <f t="shared" si="4"/>
        <v>Novy Anton</v>
      </c>
      <c r="C40" s="49">
        <f t="shared" si="5"/>
        <v>1.7702702702702702</v>
      </c>
      <c r="D40" s="47">
        <f t="shared" si="6"/>
        <v>1.75</v>
      </c>
      <c r="E40" s="48">
        <f t="shared" si="7"/>
        <v>8</v>
      </c>
    </row>
    <row r="41" spans="2:5" x14ac:dyDescent="0.3">
      <c r="B41" s="51" t="str">
        <f t="shared" si="4"/>
        <v>Novy Miro</v>
      </c>
      <c r="C41" s="49">
        <f t="shared" si="5"/>
        <v>2</v>
      </c>
      <c r="D41" s="47">
        <f t="shared" si="6"/>
        <v>2</v>
      </c>
      <c r="E41" s="48">
        <f t="shared" si="7"/>
        <v>12</v>
      </c>
    </row>
    <row r="42" spans="2:5" x14ac:dyDescent="0.3">
      <c r="B42" s="51" t="str">
        <f t="shared" si="4"/>
        <v>Papulakova Vanesa</v>
      </c>
      <c r="C42" s="49">
        <f t="shared" si="5"/>
        <v>1.6756756756756757</v>
      </c>
      <c r="D42" s="47">
        <f t="shared" si="6"/>
        <v>1.6666666666666667</v>
      </c>
      <c r="E42" s="48">
        <f t="shared" si="7"/>
        <v>10</v>
      </c>
    </row>
    <row r="43" spans="2:5" x14ac:dyDescent="0.3">
      <c r="B43" s="51" t="str">
        <f t="shared" si="4"/>
        <v>Sisovsky Rasto</v>
      </c>
      <c r="C43" s="49">
        <f t="shared" si="5"/>
        <v>2.9054054054054053</v>
      </c>
      <c r="D43" s="47">
        <f t="shared" si="6"/>
        <v>2.9166666666666665</v>
      </c>
      <c r="E43" s="48">
        <f t="shared" si="7"/>
        <v>14</v>
      </c>
    </row>
    <row r="44" spans="2:5" x14ac:dyDescent="0.3">
      <c r="B44" s="51" t="str">
        <f t="shared" si="4"/>
        <v>Smutna Paula</v>
      </c>
      <c r="C44" s="49">
        <f t="shared" si="5"/>
        <v>2.2432432432432434</v>
      </c>
      <c r="D44" s="47">
        <f t="shared" si="6"/>
        <v>2.1666666666666665</v>
      </c>
      <c r="E44" s="48">
        <f t="shared" si="7"/>
        <v>14</v>
      </c>
    </row>
    <row r="45" spans="2:5" x14ac:dyDescent="0.3">
      <c r="B45" s="51" t="str">
        <f t="shared" si="4"/>
        <v>Smutny Marian</v>
      </c>
      <c r="C45" s="49">
        <f t="shared" si="5"/>
        <v>2.1756756756756759</v>
      </c>
      <c r="D45" s="47">
        <f t="shared" si="6"/>
        <v>2.25</v>
      </c>
      <c r="E45" s="48">
        <f t="shared" si="7"/>
        <v>10</v>
      </c>
    </row>
    <row r="46" spans="2:5" x14ac:dyDescent="0.3">
      <c r="B46" s="51" t="str">
        <f t="shared" si="4"/>
        <v>Vesely David</v>
      </c>
      <c r="C46" s="49">
        <f t="shared" si="5"/>
        <v>2.8513513513513513</v>
      </c>
      <c r="D46" s="47">
        <f t="shared" si="6"/>
        <v>2.9166666666666665</v>
      </c>
      <c r="E46" s="48">
        <f t="shared" si="7"/>
        <v>9</v>
      </c>
    </row>
    <row r="47" spans="2:5" x14ac:dyDescent="0.3">
      <c r="B47" s="51" t="str">
        <f t="shared" si="4"/>
        <v>Vesely Denis</v>
      </c>
      <c r="C47" s="49">
        <f t="shared" si="5"/>
        <v>2.8648648648648649</v>
      </c>
      <c r="D47" s="47">
        <f t="shared" si="6"/>
        <v>2.9166666666666665</v>
      </c>
      <c r="E47" s="48">
        <f t="shared" si="7"/>
        <v>11</v>
      </c>
    </row>
    <row r="48" spans="2:5" x14ac:dyDescent="0.3">
      <c r="B48" s="51" t="str">
        <f t="shared" si="4"/>
        <v>Ziacik Oliver</v>
      </c>
      <c r="C48" s="49">
        <f t="shared" si="5"/>
        <v>1.9324324324324325</v>
      </c>
      <c r="D48" s="47">
        <f t="shared" si="6"/>
        <v>1.9166666666666667</v>
      </c>
      <c r="E48" s="48">
        <f t="shared" si="7"/>
        <v>14</v>
      </c>
    </row>
    <row r="49" spans="2:24" x14ac:dyDescent="0.3">
      <c r="B49" s="51" t="str">
        <f t="shared" si="4"/>
        <v>Ziacikova Marianna</v>
      </c>
      <c r="C49" s="49">
        <f t="shared" si="5"/>
        <v>1.9189189189189189</v>
      </c>
      <c r="D49" s="47">
        <f t="shared" si="6"/>
        <v>1.8333333333333333</v>
      </c>
      <c r="E49" s="48">
        <f t="shared" si="7"/>
        <v>10</v>
      </c>
    </row>
    <row r="50" spans="2:24" ht="15" thickBot="1" x14ac:dyDescent="0.35">
      <c r="B50" s="52" t="str">
        <f t="shared" si="4"/>
        <v>Zuffova Patricia</v>
      </c>
      <c r="C50" s="49">
        <f t="shared" si="5"/>
        <v>2.810810810810811</v>
      </c>
      <c r="D50" s="47">
        <f t="shared" si="6"/>
        <v>2.8333333333333335</v>
      </c>
      <c r="E50" s="48">
        <f t="shared" si="7"/>
        <v>7</v>
      </c>
    </row>
    <row r="64" spans="2:24" x14ac:dyDescent="0.3">
      <c r="X64" t="s">
        <v>68</v>
      </c>
    </row>
  </sheetData>
  <mergeCells count="8">
    <mergeCell ref="H26:I26"/>
    <mergeCell ref="H25:I25"/>
    <mergeCell ref="H27:I27"/>
    <mergeCell ref="G4:H4"/>
    <mergeCell ref="J4:K4"/>
    <mergeCell ref="M4:N4"/>
    <mergeCell ref="P4:Q4"/>
    <mergeCell ref="S4:U4"/>
  </mergeCells>
  <conditionalFormatting sqref="Y6:Y23">
    <cfRule type="cellIs" dxfId="0" priority="1" operator="lessThan">
      <formula>2</formula>
    </cfRule>
  </conditionalFormatting>
  <dataValidations count="1">
    <dataValidation type="list" sqref="D6:D23 S6:S23 P6:P23 M6:M23 J6:J23 G6:G23" xr:uid="{00000000-0002-0000-0000-000000000000}">
      <formula1>"1,1.5,2,2.5,3,3.5,4"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4BD8B-5614-4D3F-90ED-BA9E88A1FBE1}">
  <sheetPr>
    <pageSetUpPr fitToPage="1"/>
  </sheetPr>
  <dimension ref="A1:M31"/>
  <sheetViews>
    <sheetView showGridLines="0" tabSelected="1" zoomScale="101" workbookViewId="0">
      <selection activeCell="B5" sqref="B5"/>
    </sheetView>
  </sheetViews>
  <sheetFormatPr defaultRowHeight="14.4" x14ac:dyDescent="0.3"/>
  <cols>
    <col min="1" max="1" width="23.77734375" customWidth="1"/>
    <col min="2" max="2" width="16.77734375" customWidth="1"/>
    <col min="3" max="3" width="28.77734375" customWidth="1"/>
    <col min="4" max="4" width="15.77734375" customWidth="1"/>
    <col min="5" max="13" width="13.77734375" customWidth="1"/>
  </cols>
  <sheetData>
    <row r="1" spans="1:13" ht="27" customHeight="1" x14ac:dyDescent="0.3">
      <c r="A1" s="32" t="s">
        <v>85</v>
      </c>
      <c r="B1" s="32"/>
      <c r="C1" s="32"/>
      <c r="D1" s="32"/>
      <c r="E1" s="22"/>
      <c r="F1" s="22"/>
      <c r="G1" s="22"/>
      <c r="H1" s="22"/>
      <c r="I1" s="22"/>
      <c r="J1" s="22"/>
      <c r="K1" s="22"/>
      <c r="L1" s="22"/>
      <c r="M1" s="22"/>
    </row>
    <row r="2" spans="1:13" x14ac:dyDescent="0.3">
      <c r="A2" s="33" t="s">
        <v>69</v>
      </c>
      <c r="B2" s="34"/>
      <c r="C2" s="34"/>
      <c r="D2" s="34"/>
      <c r="E2" s="22"/>
      <c r="F2" s="22"/>
      <c r="G2" s="22"/>
      <c r="H2" s="22"/>
      <c r="I2" s="22"/>
      <c r="J2" s="22"/>
      <c r="K2" s="22"/>
      <c r="L2" s="22"/>
      <c r="M2" s="22"/>
    </row>
    <row r="3" spans="1:13" x14ac:dyDescent="0.3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</row>
    <row r="4" spans="1:13" x14ac:dyDescent="0.3">
      <c r="A4" s="23" t="s">
        <v>70</v>
      </c>
      <c r="B4" s="23" t="s">
        <v>86</v>
      </c>
      <c r="C4" s="23" t="s">
        <v>71</v>
      </c>
      <c r="D4" s="23" t="s">
        <v>72</v>
      </c>
      <c r="E4" s="22"/>
      <c r="F4" s="22"/>
      <c r="G4" s="22"/>
      <c r="H4" s="22"/>
      <c r="I4" s="22"/>
      <c r="J4" s="22"/>
      <c r="K4" s="22"/>
      <c r="L4" s="22"/>
      <c r="M4" s="22"/>
    </row>
    <row r="5" spans="1:13" x14ac:dyDescent="0.3">
      <c r="A5" s="24" t="s">
        <v>79</v>
      </c>
      <c r="B5" s="24" t="s">
        <v>87</v>
      </c>
      <c r="C5" s="24" t="s">
        <v>9</v>
      </c>
      <c r="D5" s="25">
        <f>SUM(Sheet1!V6:V23)</f>
        <v>517</v>
      </c>
      <c r="E5" s="22"/>
      <c r="F5" s="22"/>
      <c r="G5" s="22"/>
      <c r="H5" s="22"/>
      <c r="I5" s="22"/>
      <c r="J5" s="22"/>
      <c r="K5" s="22"/>
      <c r="L5" s="22"/>
      <c r="M5" s="22"/>
    </row>
    <row r="6" spans="1:13" x14ac:dyDescent="0.3">
      <c r="A6" s="24" t="s">
        <v>80</v>
      </c>
      <c r="B6" s="24"/>
      <c r="C6" s="24" t="s">
        <v>81</v>
      </c>
      <c r="D6" s="26">
        <f>MIN(Sheet1!Y6:Y23)</f>
        <v>1.6756756756756757</v>
      </c>
      <c r="E6" s="22"/>
      <c r="F6" s="22"/>
      <c r="G6" s="22"/>
      <c r="H6" s="22"/>
      <c r="I6" s="22"/>
      <c r="J6" s="22"/>
      <c r="K6" s="22"/>
      <c r="L6" s="22"/>
      <c r="M6" s="22"/>
    </row>
    <row r="7" spans="1:13" x14ac:dyDescent="0.3">
      <c r="A7" s="24" t="s">
        <v>82</v>
      </c>
      <c r="B7" s="24" t="s">
        <v>83</v>
      </c>
      <c r="C7" s="24" t="s">
        <v>84</v>
      </c>
      <c r="D7" s="26">
        <f>AVERAGE(Sheet1!W6:W23)</f>
        <v>2.375</v>
      </c>
      <c r="E7" s="22"/>
      <c r="F7" s="22"/>
      <c r="G7" s="22"/>
      <c r="H7" s="22"/>
      <c r="I7" s="22"/>
      <c r="J7" s="22"/>
      <c r="K7" s="22"/>
      <c r="L7" s="22"/>
      <c r="M7" s="22"/>
    </row>
    <row r="8" spans="1:13" x14ac:dyDescent="0.3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</row>
    <row r="9" spans="1:13" x14ac:dyDescent="0.3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</row>
    <row r="10" spans="1:13" ht="27" customHeight="1" x14ac:dyDescent="0.3">
      <c r="A10" s="35" t="s">
        <v>73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</row>
    <row r="11" spans="1:13" x14ac:dyDescent="0.3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</row>
    <row r="12" spans="1:13" x14ac:dyDescent="0.3">
      <c r="A12" s="27" t="s">
        <v>74</v>
      </c>
      <c r="B12" s="31">
        <v>46266</v>
      </c>
      <c r="C12" s="31">
        <f>B12+1</f>
        <v>46267</v>
      </c>
      <c r="D12" s="31">
        <f t="shared" ref="D12:M12" si="0">C12+1</f>
        <v>46268</v>
      </c>
      <c r="E12" s="31">
        <f t="shared" si="0"/>
        <v>46269</v>
      </c>
      <c r="F12" s="31">
        <f t="shared" si="0"/>
        <v>46270</v>
      </c>
      <c r="G12" s="31">
        <f t="shared" si="0"/>
        <v>46271</v>
      </c>
      <c r="H12" s="31">
        <f t="shared" si="0"/>
        <v>46272</v>
      </c>
      <c r="I12" s="31">
        <f t="shared" si="0"/>
        <v>46273</v>
      </c>
      <c r="J12" s="31">
        <f t="shared" si="0"/>
        <v>46274</v>
      </c>
      <c r="K12" s="31">
        <f t="shared" si="0"/>
        <v>46275</v>
      </c>
      <c r="L12" s="31">
        <f t="shared" si="0"/>
        <v>46276</v>
      </c>
      <c r="M12" s="31">
        <f t="shared" si="0"/>
        <v>46277</v>
      </c>
    </row>
    <row r="13" spans="1:13" x14ac:dyDescent="0.3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</row>
    <row r="14" spans="1:13" x14ac:dyDescent="0.3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</row>
    <row r="15" spans="1:13" x14ac:dyDescent="0.3">
      <c r="A15" s="36" t="s">
        <v>75</v>
      </c>
      <c r="B15" s="36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</row>
    <row r="16" spans="1:13" x14ac:dyDescent="0.3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</row>
    <row r="17" spans="1:13" x14ac:dyDescent="0.3">
      <c r="A17" s="28" t="s">
        <v>76</v>
      </c>
      <c r="B17" s="28">
        <v>2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</row>
    <row r="18" spans="1:13" x14ac:dyDescent="0.3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</row>
    <row r="19" spans="1:13" x14ac:dyDescent="0.3">
      <c r="A19" s="29" t="s">
        <v>77</v>
      </c>
      <c r="B19" s="29" t="s">
        <v>78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</row>
    <row r="20" spans="1:13" x14ac:dyDescent="0.3">
      <c r="A20" s="30">
        <v>1</v>
      </c>
      <c r="B20" s="30">
        <v>2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</row>
    <row r="21" spans="1:13" x14ac:dyDescent="0.3">
      <c r="A21" s="30">
        <f>A20+1</f>
        <v>2</v>
      </c>
      <c r="B21" s="30">
        <f>B20*$B$17</f>
        <v>4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</row>
    <row r="22" spans="1:13" x14ac:dyDescent="0.3">
      <c r="A22" s="30">
        <f t="shared" ref="A22:A31" si="1">A21+1</f>
        <v>3</v>
      </c>
      <c r="B22" s="30">
        <f t="shared" ref="B22:B31" si="2">B21*$B$17</f>
        <v>8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</row>
    <row r="23" spans="1:13" x14ac:dyDescent="0.3">
      <c r="A23" s="30">
        <f t="shared" si="1"/>
        <v>4</v>
      </c>
      <c r="B23" s="30">
        <f t="shared" si="2"/>
        <v>16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</row>
    <row r="24" spans="1:13" x14ac:dyDescent="0.3">
      <c r="A24" s="30">
        <f t="shared" si="1"/>
        <v>5</v>
      </c>
      <c r="B24" s="30">
        <f t="shared" si="2"/>
        <v>32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</row>
    <row r="25" spans="1:13" x14ac:dyDescent="0.3">
      <c r="A25" s="30">
        <f t="shared" si="1"/>
        <v>6</v>
      </c>
      <c r="B25" s="30">
        <f t="shared" si="2"/>
        <v>64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</row>
    <row r="26" spans="1:13" x14ac:dyDescent="0.3">
      <c r="A26" s="30">
        <f t="shared" si="1"/>
        <v>7</v>
      </c>
      <c r="B26" s="30">
        <f t="shared" si="2"/>
        <v>128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</row>
    <row r="27" spans="1:13" x14ac:dyDescent="0.3">
      <c r="A27" s="30">
        <f t="shared" si="1"/>
        <v>8</v>
      </c>
      <c r="B27" s="30">
        <f t="shared" si="2"/>
        <v>256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</row>
    <row r="28" spans="1:13" x14ac:dyDescent="0.3">
      <c r="A28" s="30">
        <f t="shared" si="1"/>
        <v>9</v>
      </c>
      <c r="B28" s="30">
        <f t="shared" si="2"/>
        <v>512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</row>
    <row r="29" spans="1:13" x14ac:dyDescent="0.3">
      <c r="A29" s="30">
        <f t="shared" si="1"/>
        <v>10</v>
      </c>
      <c r="B29" s="30">
        <f t="shared" si="2"/>
        <v>1024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</row>
    <row r="30" spans="1:13" x14ac:dyDescent="0.3">
      <c r="A30" s="30">
        <f t="shared" si="1"/>
        <v>11</v>
      </c>
      <c r="B30" s="30">
        <f t="shared" si="2"/>
        <v>2048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</row>
    <row r="31" spans="1:13" x14ac:dyDescent="0.3">
      <c r="A31" s="30">
        <f t="shared" si="1"/>
        <v>12</v>
      </c>
      <c r="B31" s="30">
        <f t="shared" si="2"/>
        <v>4096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</row>
  </sheetData>
  <mergeCells count="4">
    <mergeCell ref="A1:D1"/>
    <mergeCell ref="A2:D2"/>
    <mergeCell ref="A10:M10"/>
    <mergeCell ref="A15:B15"/>
  </mergeCells>
  <pageMargins left="0.7" right="0.7" top="0.75" bottom="0.75" header="0.3" footer="0.3"/>
  <pageSetup scale="5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Ulohy 6-7</vt:lpstr>
      <vt:lpstr>'Ulohy 6-7'!Print_Area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edith Molar</dc:creator>
  <cp:lastModifiedBy>edith Molar</cp:lastModifiedBy>
  <dcterms:created xsi:type="dcterms:W3CDTF">2026-09-23T09:24:17Z</dcterms:created>
  <dcterms:modified xsi:type="dcterms:W3CDTF">2026-09-30T08:17:32Z</dcterms:modified>
</cp:coreProperties>
</file>