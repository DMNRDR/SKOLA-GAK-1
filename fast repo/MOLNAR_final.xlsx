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2f1231a3f872ac4c/Documents/github/skola/fast repo/"/>
    </mc:Choice>
  </mc:AlternateContent>
  <xr:revisionPtr revIDLastSave="1" documentId="11_1F951CDE3C20957665BA6D9F5FDDA9DDF794F90F" xr6:coauthVersionLast="47" xr6:coauthVersionMax="47" xr10:uidLastSave="{14C5645B-B43B-4A3D-85C0-85AA6583BBF1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3" i="1" l="1"/>
  <c r="J131" i="1"/>
  <c r="I131" i="1"/>
  <c r="I130" i="1"/>
  <c r="K129" i="1"/>
  <c r="I129" i="1" a="1"/>
  <c r="K130" i="1" s="1"/>
  <c r="F118" i="1"/>
  <c r="I118" i="1" s="1"/>
  <c r="H117" i="1"/>
  <c r="I117" i="1" s="1"/>
  <c r="G117" i="1"/>
  <c r="F117" i="1"/>
  <c r="H116" i="1"/>
  <c r="I116" i="1" s="1"/>
  <c r="F116" i="1"/>
  <c r="F115" i="1"/>
  <c r="F114" i="1"/>
  <c r="C111" i="1"/>
  <c r="B93" i="1"/>
  <c r="B94" i="1" s="1"/>
  <c r="B95" i="1" s="1"/>
  <c r="B96" i="1" s="1"/>
  <c r="B97" i="1" s="1"/>
  <c r="B98" i="1" s="1"/>
  <c r="B99" i="1" s="1"/>
  <c r="B100" i="1" s="1"/>
  <c r="B101" i="1" s="1"/>
  <c r="C92" i="1"/>
  <c r="C93" i="1" s="1"/>
  <c r="C94" i="1" s="1"/>
  <c r="C95" i="1" s="1"/>
  <c r="C96" i="1" s="1"/>
  <c r="C97" i="1" s="1"/>
  <c r="C98" i="1" s="1"/>
  <c r="C99" i="1" s="1"/>
  <c r="C100" i="1" s="1"/>
  <c r="C101" i="1" s="1"/>
  <c r="B92" i="1"/>
  <c r="D86" i="1"/>
  <c r="E86" i="1" s="1"/>
  <c r="F86" i="1" s="1"/>
  <c r="G86" i="1" s="1"/>
  <c r="H86" i="1" s="1"/>
  <c r="I86" i="1" s="1"/>
  <c r="J86" i="1" s="1"/>
  <c r="K86" i="1" s="1"/>
  <c r="L86" i="1" s="1"/>
  <c r="M86" i="1" s="1"/>
  <c r="N86" i="1" s="1"/>
  <c r="C86" i="1"/>
  <c r="E77" i="1"/>
  <c r="E50" i="1"/>
  <c r="B50" i="1"/>
  <c r="E49" i="1"/>
  <c r="C49" i="1"/>
  <c r="B49" i="1"/>
  <c r="E48" i="1"/>
  <c r="B48" i="1"/>
  <c r="E47" i="1"/>
  <c r="C47" i="1"/>
  <c r="B47" i="1"/>
  <c r="E46" i="1"/>
  <c r="B46" i="1"/>
  <c r="E45" i="1"/>
  <c r="C45" i="1"/>
  <c r="B45" i="1"/>
  <c r="E44" i="1"/>
  <c r="B44" i="1"/>
  <c r="E43" i="1"/>
  <c r="C43" i="1"/>
  <c r="B43" i="1"/>
  <c r="E42" i="1"/>
  <c r="B42" i="1"/>
  <c r="E41" i="1"/>
  <c r="C41" i="1"/>
  <c r="B41" i="1"/>
  <c r="E40" i="1"/>
  <c r="B40" i="1"/>
  <c r="E39" i="1"/>
  <c r="C39" i="1"/>
  <c r="B39" i="1"/>
  <c r="E38" i="1"/>
  <c r="B38" i="1"/>
  <c r="E37" i="1"/>
  <c r="C37" i="1"/>
  <c r="B37" i="1"/>
  <c r="E36" i="1"/>
  <c r="B36" i="1"/>
  <c r="E35" i="1"/>
  <c r="C35" i="1"/>
  <c r="B35" i="1"/>
  <c r="E34" i="1"/>
  <c r="B34" i="1"/>
  <c r="E33" i="1"/>
  <c r="C33" i="1"/>
  <c r="B33" i="1"/>
  <c r="H27" i="1"/>
  <c r="G27" i="1"/>
  <c r="F27" i="1"/>
  <c r="E27" i="1"/>
  <c r="D27" i="1"/>
  <c r="C27" i="1"/>
  <c r="H26" i="1"/>
  <c r="G26" i="1"/>
  <c r="F26" i="1"/>
  <c r="E26" i="1"/>
  <c r="D26" i="1"/>
  <c r="C26" i="1"/>
  <c r="AA23" i="1"/>
  <c r="Z23" i="1"/>
  <c r="Y23" i="1"/>
  <c r="C50" i="1" s="1"/>
  <c r="X23" i="1"/>
  <c r="W23" i="1"/>
  <c r="D50" i="1" s="1"/>
  <c r="V23" i="1"/>
  <c r="AA22" i="1"/>
  <c r="Z22" i="1"/>
  <c r="Y22" i="1"/>
  <c r="X22" i="1"/>
  <c r="W22" i="1"/>
  <c r="D49" i="1" s="1"/>
  <c r="V22" i="1"/>
  <c r="AA21" i="1"/>
  <c r="Z21" i="1"/>
  <c r="Y21" i="1"/>
  <c r="C48" i="1" s="1"/>
  <c r="X21" i="1"/>
  <c r="W21" i="1"/>
  <c r="D48" i="1" s="1"/>
  <c r="V21" i="1"/>
  <c r="AA20" i="1"/>
  <c r="Z20" i="1"/>
  <c r="Y20" i="1"/>
  <c r="X20" i="1"/>
  <c r="W20" i="1"/>
  <c r="D47" i="1" s="1"/>
  <c r="V20" i="1"/>
  <c r="AA19" i="1"/>
  <c r="Z19" i="1"/>
  <c r="Y19" i="1"/>
  <c r="C46" i="1" s="1"/>
  <c r="X19" i="1"/>
  <c r="W19" i="1"/>
  <c r="D46" i="1" s="1"/>
  <c r="V19" i="1"/>
  <c r="AA18" i="1"/>
  <c r="Z18" i="1"/>
  <c r="Y18" i="1"/>
  <c r="X18" i="1"/>
  <c r="W18" i="1"/>
  <c r="D45" i="1" s="1"/>
  <c r="V18" i="1"/>
  <c r="AA17" i="1"/>
  <c r="Z17" i="1"/>
  <c r="Y17" i="1"/>
  <c r="C44" i="1" s="1"/>
  <c r="X17" i="1"/>
  <c r="W17" i="1"/>
  <c r="D44" i="1" s="1"/>
  <c r="V17" i="1"/>
  <c r="AA16" i="1"/>
  <c r="Z16" i="1"/>
  <c r="Y16" i="1"/>
  <c r="X16" i="1"/>
  <c r="W16" i="1"/>
  <c r="D43" i="1" s="1"/>
  <c r="V16" i="1"/>
  <c r="AA15" i="1"/>
  <c r="Z15" i="1"/>
  <c r="Y15" i="1"/>
  <c r="C42" i="1" s="1"/>
  <c r="X15" i="1"/>
  <c r="W15" i="1"/>
  <c r="D42" i="1" s="1"/>
  <c r="V15" i="1"/>
  <c r="AA14" i="1"/>
  <c r="Z14" i="1"/>
  <c r="Y14" i="1"/>
  <c r="X14" i="1"/>
  <c r="W14" i="1"/>
  <c r="D41" i="1" s="1"/>
  <c r="V14" i="1"/>
  <c r="AA13" i="1"/>
  <c r="Z13" i="1"/>
  <c r="Y13" i="1"/>
  <c r="C40" i="1" s="1"/>
  <c r="X13" i="1"/>
  <c r="W13" i="1"/>
  <c r="D40" i="1" s="1"/>
  <c r="V13" i="1"/>
  <c r="AA12" i="1"/>
  <c r="Z12" i="1"/>
  <c r="Y12" i="1"/>
  <c r="X12" i="1"/>
  <c r="W12" i="1"/>
  <c r="D39" i="1" s="1"/>
  <c r="V12" i="1"/>
  <c r="AA11" i="1"/>
  <c r="Z11" i="1"/>
  <c r="Y11" i="1"/>
  <c r="C38" i="1" s="1"/>
  <c r="X11" i="1"/>
  <c r="W11" i="1"/>
  <c r="D38" i="1" s="1"/>
  <c r="V11" i="1"/>
  <c r="AA10" i="1"/>
  <c r="Z10" i="1"/>
  <c r="Y10" i="1"/>
  <c r="X10" i="1"/>
  <c r="W10" i="1"/>
  <c r="D37" i="1" s="1"/>
  <c r="V10" i="1"/>
  <c r="AA9" i="1"/>
  <c r="Z9" i="1"/>
  <c r="Y9" i="1"/>
  <c r="C36" i="1" s="1"/>
  <c r="X9" i="1"/>
  <c r="W9" i="1"/>
  <c r="D36" i="1" s="1"/>
  <c r="V9" i="1"/>
  <c r="AA8" i="1"/>
  <c r="Z8" i="1"/>
  <c r="Y8" i="1"/>
  <c r="X8" i="1"/>
  <c r="W8" i="1"/>
  <c r="D35" i="1" s="1"/>
  <c r="V8" i="1"/>
  <c r="AA7" i="1"/>
  <c r="Z7" i="1"/>
  <c r="Y7" i="1"/>
  <c r="E78" i="1" s="1"/>
  <c r="X7" i="1"/>
  <c r="W7" i="1"/>
  <c r="D34" i="1" s="1"/>
  <c r="V7" i="1"/>
  <c r="AA6" i="1"/>
  <c r="Z6" i="1"/>
  <c r="Y6" i="1"/>
  <c r="C29" i="1" s="1"/>
  <c r="X6" i="1"/>
  <c r="W6" i="1"/>
  <c r="E79" i="1" s="1"/>
  <c r="V6" i="1"/>
  <c r="M116" i="1" l="1"/>
  <c r="L116" i="1"/>
  <c r="K117" i="1"/>
  <c r="M117" i="1"/>
  <c r="L117" i="1"/>
  <c r="N117" i="1"/>
  <c r="N116" i="1"/>
  <c r="K131" i="1"/>
  <c r="J114" i="1"/>
  <c r="J118" i="1"/>
  <c r="C34" i="1"/>
  <c r="K118" i="1"/>
  <c r="L118" i="1"/>
  <c r="G116" i="1"/>
  <c r="J117" i="1"/>
  <c r="M118" i="1"/>
  <c r="I129" i="1"/>
  <c r="N118" i="1"/>
  <c r="G115" i="1"/>
  <c r="J116" i="1"/>
  <c r="H115" i="1"/>
  <c r="K116" i="1"/>
  <c r="J129" i="1"/>
  <c r="G114" i="1"/>
  <c r="G118" i="1"/>
  <c r="D33" i="1"/>
  <c r="H114" i="1"/>
  <c r="I114" i="1" s="1"/>
  <c r="H118" i="1"/>
  <c r="J130" i="1"/>
  <c r="K114" i="1" l="1"/>
  <c r="M114" i="1"/>
  <c r="L114" i="1"/>
  <c r="N129" i="1" a="1"/>
  <c r="J115" i="1"/>
  <c r="I115" i="1"/>
  <c r="M115" i="1" l="1"/>
  <c r="L115" i="1"/>
  <c r="K115" i="1"/>
  <c r="N115" i="1" s="1"/>
  <c r="N131" i="1"/>
  <c r="N130" i="1"/>
  <c r="N129" i="1"/>
  <c r="P129" i="1" s="1" a="1"/>
  <c r="N114" i="1"/>
  <c r="P131" i="1" l="1"/>
  <c r="P130" i="1"/>
  <c r="P129" i="1"/>
</calcChain>
</file>

<file path=xl/sharedStrings.xml><?xml version="1.0" encoding="utf-8"?>
<sst xmlns="http://schemas.openxmlformats.org/spreadsheetml/2006/main" count="144" uniqueCount="120">
  <si>
    <t xml:space="preserve"> </t>
  </si>
  <si>
    <t>ULOHA 1,2,3,4</t>
  </si>
  <si>
    <t>Meno</t>
  </si>
  <si>
    <t>Priezvisko</t>
  </si>
  <si>
    <t>Geodezia</t>
  </si>
  <si>
    <t>Matematika</t>
  </si>
  <si>
    <t>Fyzika</t>
  </si>
  <si>
    <t>Programovanie</t>
  </si>
  <si>
    <t xml:space="preserve">CAD Systems </t>
  </si>
  <si>
    <t>Metody zobrazovania</t>
  </si>
  <si>
    <t>Ziskane kredity</t>
  </si>
  <si>
    <t>Priemerna znamka</t>
  </si>
  <si>
    <t>Priemerny pocet pokusov</t>
  </si>
  <si>
    <t>VSP</t>
  </si>
  <si>
    <t>Sucet znamok</t>
  </si>
  <si>
    <t>Pocet pokusov</t>
  </si>
  <si>
    <t>Znamka</t>
  </si>
  <si>
    <t>Pokusy</t>
  </si>
  <si>
    <t>Kredity</t>
  </si>
  <si>
    <t>Znamka2</t>
  </si>
  <si>
    <t>Pokusy2</t>
  </si>
  <si>
    <t>Kredity2</t>
  </si>
  <si>
    <t>Znamka3</t>
  </si>
  <si>
    <t>Pokusy3</t>
  </si>
  <si>
    <t>Kredity3</t>
  </si>
  <si>
    <t>Znamka4</t>
  </si>
  <si>
    <t>Pokusy4</t>
  </si>
  <si>
    <t>Kredity4</t>
  </si>
  <si>
    <t>Znamka5</t>
  </si>
  <si>
    <t>Pokusy5</t>
  </si>
  <si>
    <t>Kredity5</t>
  </si>
  <si>
    <t>Znamka6</t>
  </si>
  <si>
    <t>Pokusy6</t>
  </si>
  <si>
    <t>Kredity6</t>
  </si>
  <si>
    <t>Monika</t>
  </si>
  <si>
    <t>Koncova</t>
  </si>
  <si>
    <t>Emanuel</t>
  </si>
  <si>
    <t>Kovac</t>
  </si>
  <si>
    <t>Marek</t>
  </si>
  <si>
    <t>Denisa</t>
  </si>
  <si>
    <t>Kovacova</t>
  </si>
  <si>
    <t>Anton</t>
  </si>
  <si>
    <t>Liso</t>
  </si>
  <si>
    <t>kristina</t>
  </si>
  <si>
    <t>Mlynarova</t>
  </si>
  <si>
    <t>jana</t>
  </si>
  <si>
    <t>Novotna</t>
  </si>
  <si>
    <t>Novy</t>
  </si>
  <si>
    <t>Miro</t>
  </si>
  <si>
    <t>Vanesa</t>
  </si>
  <si>
    <t>Papulakova</t>
  </si>
  <si>
    <t>Rasto</t>
  </si>
  <si>
    <t>Sisovsky</t>
  </si>
  <si>
    <t>Paula</t>
  </si>
  <si>
    <t>Smutna</t>
  </si>
  <si>
    <t>Marian</t>
  </si>
  <si>
    <t>Smutny</t>
  </si>
  <si>
    <t>David</t>
  </si>
  <si>
    <t>Vesely</t>
  </si>
  <si>
    <t>Denis</t>
  </si>
  <si>
    <t>Oliver</t>
  </si>
  <si>
    <t>Ziacik</t>
  </si>
  <si>
    <t>Marianna</t>
  </si>
  <si>
    <t>Ziacikova</t>
  </si>
  <si>
    <t>Patricia</t>
  </si>
  <si>
    <t>Zuffova</t>
  </si>
  <si>
    <t>Ukazovatel</t>
  </si>
  <si>
    <t>CAD Systems</t>
  </si>
  <si>
    <t>Priemerny VSP celeho kruzku</t>
  </si>
  <si>
    <t xml:space="preserve">ULOHA 5 - grafy </t>
  </si>
  <si>
    <t>Student</t>
  </si>
  <si>
    <t>`</t>
  </si>
  <si>
    <t>ULOHA 6</t>
  </si>
  <si>
    <t>Typ vypoctu</t>
  </si>
  <si>
    <t>Pouzite data</t>
  </si>
  <si>
    <t>Vybrate udaje</t>
  </si>
  <si>
    <t>Vysledok</t>
  </si>
  <si>
    <t>Sucet  =SUM</t>
  </si>
  <si>
    <t>V6:V23</t>
  </si>
  <si>
    <t>Minimum =MIN</t>
  </si>
  <si>
    <t>Y6:Y23</t>
  </si>
  <si>
    <t>VSP studentov</t>
  </si>
  <si>
    <t>Priemer =AVERAGE</t>
  </si>
  <si>
    <t>W6:W23</t>
  </si>
  <si>
    <t>Priemerne znamky studentov</t>
  </si>
  <si>
    <t xml:space="preserve">ULOHA 7 </t>
  </si>
  <si>
    <t>Kalendarny rad</t>
  </si>
  <si>
    <t>Rastovy rad</t>
  </si>
  <si>
    <t>Koeficient rastu</t>
  </si>
  <si>
    <t>Poradie</t>
  </si>
  <si>
    <t>Hodnota</t>
  </si>
  <si>
    <t>ULOHA 8</t>
  </si>
  <si>
    <t>ro [gon]</t>
  </si>
  <si>
    <t>c. troj.</t>
  </si>
  <si>
    <t>a</t>
  </si>
  <si>
    <t>b</t>
  </si>
  <si>
    <t>c</t>
  </si>
  <si>
    <t>Existuje?</t>
  </si>
  <si>
    <t>Obvod</t>
  </si>
  <si>
    <t>Obsah</t>
  </si>
  <si>
    <t>r vpisanej</t>
  </si>
  <si>
    <t>R opisanej</t>
  </si>
  <si>
    <t xml:space="preserve">alfa </t>
  </si>
  <si>
    <t xml:space="preserve">beta </t>
  </si>
  <si>
    <t xml:space="preserve">gama </t>
  </si>
  <si>
    <t xml:space="preserve">Sucet uhlov </t>
  </si>
  <si>
    <t xml:space="preserve">ULOHA 9 </t>
  </si>
  <si>
    <t>2x + y - z = 8</t>
  </si>
  <si>
    <t>x - y + 2z = 0</t>
  </si>
  <si>
    <t>3x + 2y + z = 10</t>
  </si>
  <si>
    <t>Matica A</t>
  </si>
  <si>
    <t>Inverzna matica A (MINVERSE)</t>
  </si>
  <si>
    <t>Neznama</t>
  </si>
  <si>
    <t>Riesenie (MMULT)</t>
  </si>
  <si>
    <t>Skuska A*x (= b)</t>
  </si>
  <si>
    <t>x</t>
  </si>
  <si>
    <t>y</t>
  </si>
  <si>
    <t>z</t>
  </si>
  <si>
    <t>Determinant A (MDETERM)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</si>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</sst>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"/>
    <numFmt numFmtId="166" formatCode="0.0000"/>
    <numFmt numFmtId="167" formatCode="0.000000"/>
  </numFmts>
  <fonts count="18" x14ac:knownFonts="1">
    <font>
      <sz val="11"/>
      <color theme="1"/>
      <name val="Aptos Narrow"/>
    </font>
    <font>
      <sz val="11"/>
      <color theme="1"/>
      <name val="Calibri"/>
      <family val="2"/>
      <charset val="238"/>
      <scheme val="minor"/>
    </font>
    <font>
      <sz val="11"/>
      <color theme="1"/>
      <name val="Aptos Narrow"/>
    </font>
    <font>
      <sz val="11"/>
      <color rgb="FF9C5700"/>
      <name val="Aptos Narrow"/>
    </font>
    <font>
      <sz val="10"/>
      <color rgb="FF9C5700"/>
      <name val="Arial"/>
    </font>
    <font>
      <b/>
      <sz val="10"/>
      <color rgb="FFFFFFFF"/>
      <name val="Arial"/>
    </font>
    <font>
      <sz val="10"/>
      <color rgb="FFFFFFFF"/>
      <name val="Arial"/>
    </font>
    <font>
      <sz val="10"/>
      <color theme="1"/>
      <name val="Arial"/>
    </font>
    <font>
      <b/>
      <sz val="10"/>
      <color rgb="FF9C5700"/>
      <name val="Arial"/>
    </font>
    <font>
      <b/>
      <sz val="10"/>
      <color rgb="FFFFFFFF"/>
      <name val="Aptos"/>
      <family val="2"/>
    </font>
    <font>
      <sz val="10"/>
      <color theme="1"/>
      <name val="Aptos"/>
      <family val="2"/>
    </font>
    <font>
      <b/>
      <sz val="10"/>
      <color theme="1"/>
      <name val="Aptos"/>
      <family val="2"/>
    </font>
    <font>
      <sz val="11"/>
      <color theme="0"/>
      <name val="Calibri"/>
      <family val="2"/>
      <charset val="238"/>
      <scheme val="minor"/>
    </font>
    <font>
      <b/>
      <sz val="10"/>
      <color rgb="FFFFFFFF"/>
      <name val="Aptos"/>
    </font>
    <font>
      <b/>
      <sz val="10"/>
      <name val="Aptos"/>
    </font>
    <font>
      <sz val="10"/>
      <name val="Aptos"/>
    </font>
    <font>
      <sz val="11"/>
      <color rgb="FF006100"/>
      <name val="Calibri"/>
      <family val="2"/>
      <charset val="238"/>
      <scheme val="minor"/>
    </font>
    <font>
      <sz val="11"/>
      <name val="Aptos Narrow"/>
    </font>
  </fonts>
  <fills count="26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rgb="FFFFE699"/>
      </patternFill>
    </fill>
    <fill>
      <patternFill patternType="solid">
        <fgColor rgb="FF2FA8D8"/>
      </patternFill>
    </fill>
    <fill>
      <patternFill patternType="solid">
        <fgColor rgb="FFF4A47E"/>
      </patternFill>
    </fill>
    <fill>
      <patternFill patternType="solid">
        <fgColor rgb="FF2FA8D8"/>
      </patternFill>
    </fill>
    <fill>
      <patternFill patternType="solid">
        <fgColor rgb="FFF4A47E"/>
      </patternFill>
    </fill>
    <fill>
      <patternFill patternType="solid">
        <fgColor rgb="FFFFE699"/>
      </patternFill>
    </fill>
    <fill>
      <patternFill patternType="solid">
        <fgColor rgb="FF2FA8D8"/>
      </patternFill>
    </fill>
    <fill>
      <patternFill patternType="solid">
        <fgColor rgb="FF1F4E79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C65911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5"/>
      </patternFill>
    </fill>
    <fill>
      <patternFill patternType="solid">
        <fgColor rgb="FF1F4E79"/>
      </patternFill>
    </fill>
    <fill>
      <patternFill patternType="solid">
        <fgColor rgb="FF5B9BD5"/>
      </patternFill>
    </fill>
    <fill>
      <patternFill patternType="solid">
        <fgColor rgb="FFDDEBF7"/>
      </patternFill>
    </fill>
    <fill>
      <patternFill patternType="solid">
        <fgColor rgb="FFC6EFCE"/>
      </patternFill>
    </fill>
    <fill>
      <patternFill patternType="solid">
        <fgColor theme="4"/>
      </patternFill>
    </fill>
    <fill>
      <patternFill patternType="solid">
        <fgColor theme="7" tint="0.59999389629810485"/>
        <bgColor indexed="65"/>
      </patternFill>
    </fill>
  </fills>
  <borders count="2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8">
    <xf numFmtId="0" fontId="0" fillId="0" borderId="21"/>
    <xf numFmtId="0" fontId="3" fillId="2" borderId="21"/>
    <xf numFmtId="0" fontId="2" fillId="3" borderId="21"/>
    <xf numFmtId="0" fontId="2" fillId="4" borderId="21"/>
    <xf numFmtId="0" fontId="12" fillId="19" borderId="21"/>
    <xf numFmtId="0" fontId="16" fillId="23" borderId="21"/>
    <xf numFmtId="0" fontId="12" fillId="24" borderId="21"/>
    <xf numFmtId="0" fontId="1" fillId="25" borderId="21"/>
  </cellStyleXfs>
  <cellXfs count="92">
    <xf numFmtId="0" fontId="0" fillId="0" borderId="0" xfId="0" applyBorder="1"/>
    <xf numFmtId="0" fontId="0" fillId="0" borderId="0" xfId="0" applyBorder="1" applyAlignment="1">
      <alignment vertical="center"/>
    </xf>
    <xf numFmtId="0" fontId="3" fillId="2" borderId="2" xfId="1" applyBorder="1" applyAlignment="1">
      <alignment horizontal="center"/>
    </xf>
    <xf numFmtId="0" fontId="3" fillId="2" borderId="2" xfId="1" applyBorder="1"/>
    <xf numFmtId="0" fontId="4" fillId="5" borderId="2" xfId="0" applyFont="1" applyFill="1" applyBorder="1" applyAlignment="1">
      <alignment horizontal="center"/>
    </xf>
    <xf numFmtId="0" fontId="5" fillId="6" borderId="2" xfId="0" applyFont="1" applyFill="1" applyBorder="1" applyAlignment="1">
      <alignment horizontal="center" vertical="center"/>
    </xf>
    <xf numFmtId="1" fontId="6" fillId="7" borderId="2" xfId="0" applyNumberFormat="1" applyFont="1" applyFill="1" applyBorder="1" applyAlignment="1">
      <alignment horizontal="center" vertical="center"/>
    </xf>
    <xf numFmtId="2" fontId="6" fillId="7" borderId="2" xfId="0" applyNumberFormat="1" applyFont="1" applyFill="1" applyBorder="1" applyAlignment="1">
      <alignment horizontal="center" vertical="center"/>
    </xf>
    <xf numFmtId="164" fontId="6" fillId="7" borderId="2" xfId="0" applyNumberFormat="1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4" borderId="2" xfId="0" applyFill="1" applyBorder="1" applyAlignment="1">
      <alignment horizontal="left" vertical="center"/>
    </xf>
    <xf numFmtId="0" fontId="0" fillId="4" borderId="2" xfId="0" applyFill="1" applyBorder="1" applyAlignment="1">
      <alignment horizontal="center" vertical="center"/>
    </xf>
    <xf numFmtId="165" fontId="0" fillId="4" borderId="2" xfId="0" applyNumberFormat="1" applyFill="1" applyBorder="1" applyAlignment="1">
      <alignment horizontal="center" vertical="center"/>
    </xf>
    <xf numFmtId="165" fontId="0" fillId="4" borderId="2" xfId="0" applyNumberFormat="1" applyFill="1" applyBorder="1" applyAlignment="1">
      <alignment horizontal="center" vertical="center" wrapText="1"/>
    </xf>
    <xf numFmtId="0" fontId="5" fillId="11" borderId="3" xfId="0" applyFont="1" applyFill="1" applyBorder="1" applyAlignment="1">
      <alignment horizontal="center" vertical="center"/>
    </xf>
    <xf numFmtId="0" fontId="11" fillId="16" borderId="4" xfId="0" applyFont="1" applyFill="1" applyBorder="1" applyAlignment="1">
      <alignment vertical="center"/>
    </xf>
    <xf numFmtId="0" fontId="10" fillId="18" borderId="2" xfId="0" applyFont="1" applyFill="1" applyBorder="1" applyAlignment="1">
      <alignment vertical="center"/>
    </xf>
    <xf numFmtId="1" fontId="10" fillId="17" borderId="4" xfId="0" applyNumberFormat="1" applyFont="1" applyFill="1" applyBorder="1" applyAlignment="1">
      <alignment horizontal="center" vertical="center"/>
    </xf>
    <xf numFmtId="2" fontId="7" fillId="9" borderId="2" xfId="0" applyNumberFormat="1" applyFont="1" applyFill="1" applyBorder="1" applyAlignment="1">
      <alignment horizontal="center" vertical="center"/>
    </xf>
    <xf numFmtId="2" fontId="7" fillId="9" borderId="6" xfId="0" applyNumberFormat="1" applyFont="1" applyFill="1" applyBorder="1" applyAlignment="1">
      <alignment horizontal="center" vertical="center"/>
    </xf>
    <xf numFmtId="0" fontId="5" fillId="8" borderId="7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2" fontId="7" fillId="9" borderId="8" xfId="0" applyNumberFormat="1" applyFont="1" applyFill="1" applyBorder="1" applyAlignment="1">
      <alignment horizontal="center" vertical="center"/>
    </xf>
    <xf numFmtId="0" fontId="8" fillId="10" borderId="5" xfId="0" applyFont="1" applyFill="1" applyBorder="1" applyAlignment="1">
      <alignment horizontal="left" vertical="center"/>
    </xf>
    <xf numFmtId="2" fontId="7" fillId="9" borderId="9" xfId="0" applyNumberFormat="1" applyFont="1" applyFill="1" applyBorder="1" applyAlignment="1">
      <alignment horizontal="center" vertical="center"/>
    </xf>
    <xf numFmtId="2" fontId="7" fillId="0" borderId="2" xfId="0" applyNumberFormat="1" applyFont="1" applyBorder="1" applyAlignment="1">
      <alignment horizontal="center" vertical="center"/>
    </xf>
    <xf numFmtId="1" fontId="7" fillId="0" borderId="2" xfId="0" applyNumberFormat="1" applyFont="1" applyBorder="1" applyAlignment="1">
      <alignment horizontal="center" vertical="center"/>
    </xf>
    <xf numFmtId="2" fontId="7" fillId="0" borderId="9" xfId="0" applyNumberFormat="1" applyFont="1" applyBorder="1" applyAlignment="1">
      <alignment horizontal="center" vertical="center"/>
    </xf>
    <xf numFmtId="0" fontId="12" fillId="19" borderId="10" xfId="4" applyBorder="1" applyAlignment="1">
      <alignment horizontal="center" vertical="center"/>
    </xf>
    <xf numFmtId="0" fontId="12" fillId="19" borderId="11" xfId="4" applyBorder="1" applyAlignment="1">
      <alignment horizontal="center" vertical="center"/>
    </xf>
    <xf numFmtId="0" fontId="12" fillId="19" borderId="12" xfId="4" applyBorder="1" applyAlignment="1">
      <alignment horizontal="center" vertical="center"/>
    </xf>
    <xf numFmtId="0" fontId="3" fillId="2" borderId="2" xfId="1" applyBorder="1" applyAlignment="1">
      <alignment textRotation="90"/>
    </xf>
    <xf numFmtId="0" fontId="3" fillId="2" borderId="2" xfId="1" applyBorder="1" applyAlignment="1">
      <alignment horizontal="center" textRotation="90"/>
    </xf>
    <xf numFmtId="0" fontId="4" fillId="10" borderId="2" xfId="0" applyFont="1" applyFill="1" applyBorder="1" applyAlignment="1">
      <alignment horizontal="center"/>
    </xf>
    <xf numFmtId="0" fontId="0" fillId="3" borderId="2" xfId="0" applyFill="1" applyBorder="1" applyAlignment="1">
      <alignment horizontal="center" vertical="center" textRotation="90"/>
    </xf>
    <xf numFmtId="0" fontId="5" fillId="6" borderId="2" xfId="0" applyFont="1" applyFill="1" applyBorder="1" applyAlignment="1">
      <alignment horizontal="center" vertical="center" textRotation="90"/>
    </xf>
    <xf numFmtId="0" fontId="5" fillId="11" borderId="2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 textRotation="90"/>
    </xf>
    <xf numFmtId="1" fontId="6" fillId="7" borderId="2" xfId="0" applyNumberFormat="1" applyFont="1" applyFill="1" applyBorder="1" applyAlignment="1">
      <alignment horizontal="center" vertical="center" textRotation="90"/>
    </xf>
    <xf numFmtId="165" fontId="6" fillId="9" borderId="2" xfId="0" applyNumberFormat="1" applyFont="1" applyFill="1" applyBorder="1" applyAlignment="1">
      <alignment horizontal="center" vertical="center"/>
    </xf>
    <xf numFmtId="1" fontId="6" fillId="9" borderId="2" xfId="0" applyNumberFormat="1" applyFont="1" applyFill="1" applyBorder="1" applyAlignment="1">
      <alignment horizontal="center" vertical="center"/>
    </xf>
    <xf numFmtId="0" fontId="13" fillId="21" borderId="14" xfId="0" applyFont="1" applyFill="1" applyBorder="1" applyAlignment="1">
      <alignment horizontal="center" vertical="center" wrapText="1"/>
    </xf>
    <xf numFmtId="166" fontId="15" fillId="22" borderId="14" xfId="0" applyNumberFormat="1" applyFont="1" applyFill="1" applyBorder="1" applyAlignment="1">
      <alignment horizontal="center"/>
    </xf>
    <xf numFmtId="1" fontId="15" fillId="0" borderId="14" xfId="0" applyNumberFormat="1" applyFont="1" applyBorder="1" applyAlignment="1">
      <alignment horizontal="center"/>
    </xf>
    <xf numFmtId="0" fontId="15" fillId="0" borderId="14" xfId="0" applyFont="1" applyBorder="1" applyAlignment="1">
      <alignment horizontal="center"/>
    </xf>
    <xf numFmtId="164" fontId="14" fillId="22" borderId="14" xfId="0" applyNumberFormat="1" applyFont="1" applyFill="1" applyBorder="1" applyAlignment="1">
      <alignment horizontal="center"/>
    </xf>
    <xf numFmtId="0" fontId="0" fillId="0" borderId="3" xfId="0" applyBorder="1"/>
    <xf numFmtId="0" fontId="10" fillId="0" borderId="3" xfId="0" applyFont="1" applyBorder="1" applyAlignment="1">
      <alignment vertical="center"/>
    </xf>
    <xf numFmtId="1" fontId="11" fillId="16" borderId="3" xfId="0" applyNumberFormat="1" applyFont="1" applyFill="1" applyBorder="1" applyAlignment="1">
      <alignment horizontal="center" vertical="center"/>
    </xf>
    <xf numFmtId="0" fontId="14" fillId="0" borderId="3" xfId="0" applyFont="1" applyBorder="1"/>
    <xf numFmtId="167" fontId="2" fillId="0" borderId="14" xfId="0" applyNumberFormat="1" applyFont="1" applyBorder="1"/>
    <xf numFmtId="0" fontId="15" fillId="0" borderId="3" xfId="0" applyFont="1" applyBorder="1"/>
    <xf numFmtId="164" fontId="8" fillId="10" borderId="18" xfId="0" applyNumberFormat="1" applyFont="1" applyFill="1" applyBorder="1"/>
    <xf numFmtId="0" fontId="8" fillId="10" borderId="14" xfId="0" applyFont="1" applyFill="1" applyBorder="1"/>
    <xf numFmtId="0" fontId="9" fillId="13" borderId="20" xfId="0" applyFont="1" applyFill="1" applyBorder="1" applyAlignment="1">
      <alignment vertical="center"/>
    </xf>
    <xf numFmtId="0" fontId="10" fillId="14" borderId="14" xfId="0" applyFont="1" applyFill="1" applyBorder="1" applyAlignment="1">
      <alignment vertical="center"/>
    </xf>
    <xf numFmtId="1" fontId="11" fillId="14" borderId="14" xfId="0" applyNumberFormat="1" applyFont="1" applyFill="1" applyBorder="1" applyAlignment="1">
      <alignment horizontal="center" vertical="center"/>
    </xf>
    <xf numFmtId="164" fontId="11" fillId="14" borderId="14" xfId="0" applyNumberFormat="1" applyFont="1" applyFill="1" applyBorder="1" applyAlignment="1">
      <alignment horizontal="center" vertical="center"/>
    </xf>
    <xf numFmtId="14" fontId="10" fillId="17" borderId="4" xfId="0" applyNumberFormat="1" applyFont="1" applyFill="1" applyBorder="1" applyAlignment="1">
      <alignment horizontal="center" vertical="center"/>
    </xf>
    <xf numFmtId="0" fontId="10" fillId="18" borderId="2" xfId="0" applyFont="1" applyFill="1" applyBorder="1" applyAlignment="1">
      <alignment horizontal="center" vertical="center"/>
    </xf>
    <xf numFmtId="0" fontId="9" fillId="15" borderId="15" xfId="0" applyFont="1" applyFill="1" applyBorder="1" applyAlignment="1">
      <alignment vertical="center"/>
    </xf>
    <xf numFmtId="0" fontId="16" fillId="23" borderId="14" xfId="5" applyBorder="1" applyAlignment="1">
      <alignment horizontal="center" vertical="center" wrapText="1"/>
    </xf>
    <xf numFmtId="1" fontId="1" fillId="25" borderId="14" xfId="7" applyNumberFormat="1" applyBorder="1" applyAlignment="1">
      <alignment horizontal="center"/>
    </xf>
    <xf numFmtId="2" fontId="1" fillId="25" borderId="14" xfId="7" applyNumberFormat="1" applyBorder="1" applyAlignment="1">
      <alignment horizontal="center"/>
    </xf>
    <xf numFmtId="0" fontId="1" fillId="25" borderId="14" xfId="7" applyBorder="1" applyAlignment="1">
      <alignment horizontal="center"/>
    </xf>
    <xf numFmtId="166" fontId="1" fillId="25" borderId="14" xfId="7" applyNumberFormat="1" applyBorder="1" applyAlignment="1">
      <alignment horizontal="center"/>
    </xf>
    <xf numFmtId="0" fontId="17" fillId="0" borderId="21" xfId="0" applyFont="1"/>
    <xf numFmtId="2" fontId="15" fillId="22" borderId="14" xfId="0" applyNumberFormat="1" applyFont="1" applyFill="1" applyBorder="1" applyAlignment="1">
      <alignment horizontal="center"/>
    </xf>
    <xf numFmtId="2" fontId="14" fillId="22" borderId="14" xfId="0" applyNumberFormat="1" applyFont="1" applyFill="1" applyBorder="1" applyAlignment="1">
      <alignment horizontal="center"/>
    </xf>
    <xf numFmtId="0" fontId="15" fillId="0" borderId="22" xfId="0" applyFont="1" applyBorder="1"/>
    <xf numFmtId="2" fontId="15" fillId="0" borderId="22" xfId="0" applyNumberFormat="1" applyFont="1" applyBorder="1" applyAlignment="1">
      <alignment horizontal="center"/>
    </xf>
    <xf numFmtId="0" fontId="3" fillId="2" borderId="2" xfId="1" applyBorder="1" applyAlignment="1">
      <alignment horizontal="center"/>
    </xf>
    <xf numFmtId="0" fontId="0" fillId="0" borderId="9" xfId="0" applyBorder="1"/>
    <xf numFmtId="0" fontId="12" fillId="24" borderId="21" xfId="6" applyAlignment="1">
      <alignment horizontal="center" vertical="center"/>
    </xf>
    <xf numFmtId="0" fontId="0" fillId="0" borderId="0" xfId="0" applyBorder="1"/>
    <xf numFmtId="0" fontId="16" fillId="23" borderId="14" xfId="5" applyBorder="1" applyAlignment="1">
      <alignment horizontal="center" vertical="center" wrapText="1"/>
    </xf>
    <xf numFmtId="0" fontId="0" fillId="0" borderId="17" xfId="0" applyBorder="1"/>
    <xf numFmtId="0" fontId="13" fillId="21" borderId="14" xfId="0" applyFont="1" applyFill="1" applyBorder="1" applyAlignment="1">
      <alignment horizontal="center" vertical="center" wrapText="1"/>
    </xf>
    <xf numFmtId="0" fontId="0" fillId="0" borderId="16" xfId="0" applyBorder="1"/>
    <xf numFmtId="0" fontId="5" fillId="8" borderId="20" xfId="0" applyFont="1" applyFill="1" applyBorder="1" applyAlignment="1">
      <alignment horizontal="center" vertical="center"/>
    </xf>
    <xf numFmtId="0" fontId="0" fillId="0" borderId="19" xfId="0" applyBorder="1"/>
    <xf numFmtId="0" fontId="9" fillId="12" borderId="5" xfId="0" applyFont="1" applyFill="1" applyBorder="1" applyAlignment="1">
      <alignment horizontal="center" vertical="center"/>
    </xf>
    <xf numFmtId="0" fontId="0" fillId="0" borderId="1" xfId="0" applyBorder="1"/>
    <xf numFmtId="0" fontId="0" fillId="0" borderId="18" xfId="0" applyBorder="1"/>
    <xf numFmtId="166" fontId="1" fillId="25" borderId="14" xfId="7" applyNumberFormat="1" applyBorder="1" applyAlignment="1">
      <alignment horizontal="center"/>
    </xf>
    <xf numFmtId="0" fontId="13" fillId="20" borderId="21" xfId="0" applyFont="1" applyFill="1" applyAlignment="1">
      <alignment horizontal="center"/>
    </xf>
    <xf numFmtId="0" fontId="0" fillId="0" borderId="13" xfId="0" applyBorder="1"/>
    <xf numFmtId="0" fontId="9" fillId="12" borderId="21" xfId="0" applyFont="1" applyFill="1" applyAlignment="1">
      <alignment horizontal="center" vertical="center"/>
    </xf>
    <xf numFmtId="2" fontId="7" fillId="9" borderId="14" xfId="0" applyNumberFormat="1" applyFont="1" applyFill="1" applyBorder="1" applyAlignment="1">
      <alignment horizontal="center" vertical="center"/>
    </xf>
    <xf numFmtId="0" fontId="13" fillId="21" borderId="14" xfId="3" applyFont="1" applyFill="1" applyBorder="1" applyAlignment="1">
      <alignment horizontal="center" vertical="center" wrapText="1"/>
    </xf>
    <xf numFmtId="0" fontId="9" fillId="12" borderId="15" xfId="0" applyFont="1" applyFill="1" applyBorder="1" applyAlignment="1">
      <alignment horizontal="center" vertical="center"/>
    </xf>
    <xf numFmtId="0" fontId="0" fillId="0" borderId="15" xfId="0" applyBorder="1"/>
  </cellXfs>
  <cellStyles count="8">
    <cellStyle name="40% - Accent4" xfId="7" builtinId="43"/>
    <cellStyle name="60% - Accent1" xfId="2" xr:uid="{00000000-0005-0000-0000-000002000000}"/>
    <cellStyle name="60% - Accent2" xfId="3" xr:uid="{00000000-0005-0000-0000-000003000000}"/>
    <cellStyle name="Accent1" xfId="6" builtinId="29"/>
    <cellStyle name="Accent2" xfId="4" builtinId="33"/>
    <cellStyle name="Good" xfId="5" builtinId="26"/>
    <cellStyle name="Neutral" xfId="1" xr:uid="{00000000-0005-0000-0000-000001000000}"/>
    <cellStyle name="Normal" xfId="0" builtinId="0"/>
  </cellStyles>
  <dxfs count="25">
    <dxf>
      <font>
        <b/>
        <color rgb="FF006100"/>
      </font>
      <fill>
        <patternFill>
          <bgColor rgb="FFC6EFCE"/>
        </patternFill>
      </fill>
    </dxf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/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 sz="1500" b="1"/>
            </a:pPr>
            <a:r>
              <a:rPr lang="en-US" sz="1500" b="1"/>
              <a:t>VSP STUDENTOV</a:t>
            </a:r>
          </a:p>
        </c:rich>
      </c:tx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v>VSP</c:v>
          </c:tx>
          <c:spPr>
            <a:solidFill>
              <a:srgbClr val="1B6987"/>
            </a:solidFill>
            <a:ln>
              <a:solidFill>
                <a:srgbClr val="09465D"/>
              </a:solidFill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Sheet1!$B$33:$B$50</c:f>
              <c:strCache>
                <c:ptCount val="18"/>
                <c:pt idx="0">
                  <c:v>Koncova Monika</c:v>
                </c:pt>
                <c:pt idx="1">
                  <c:v>Kovac Emanuel</c:v>
                </c:pt>
                <c:pt idx="2">
                  <c:v>Kovac Marek</c:v>
                </c:pt>
                <c:pt idx="3">
                  <c:v>Kovacova Denisa</c:v>
                </c:pt>
                <c:pt idx="4">
                  <c:v>Liso Anton</c:v>
                </c:pt>
                <c:pt idx="5">
                  <c:v>Mlynarova kristina</c:v>
                </c:pt>
                <c:pt idx="6">
                  <c:v>Novotna jana</c:v>
                </c:pt>
                <c:pt idx="7">
                  <c:v>Novy Anton</c:v>
                </c:pt>
                <c:pt idx="8">
                  <c:v>Novy Miro</c:v>
                </c:pt>
                <c:pt idx="9">
                  <c:v>Papulakova Vanesa</c:v>
                </c:pt>
                <c:pt idx="10">
                  <c:v>Sisovsky Rasto</c:v>
                </c:pt>
                <c:pt idx="11">
                  <c:v>Smutna Paula</c:v>
                </c:pt>
                <c:pt idx="12">
                  <c:v>Smutny Marian</c:v>
                </c:pt>
                <c:pt idx="13">
                  <c:v>Vesely David</c:v>
                </c:pt>
                <c:pt idx="14">
                  <c:v>Vesely Denis</c:v>
                </c:pt>
                <c:pt idx="15">
                  <c:v>Ziacik Oliver</c:v>
                </c:pt>
                <c:pt idx="16">
                  <c:v>Ziacikova Marianna</c:v>
                </c:pt>
                <c:pt idx="17">
                  <c:v>Zuffova Patricia</c:v>
                </c:pt>
              </c:strCache>
            </c:strRef>
          </c:cat>
          <c:val>
            <c:numRef>
              <c:f>Sheet1!$C$33:$C$50</c:f>
              <c:numCache>
                <c:formatCode>0.00</c:formatCode>
                <c:ptCount val="18"/>
                <c:pt idx="0">
                  <c:v>2.5135135135135136</c:v>
                </c:pt>
                <c:pt idx="1">
                  <c:v>2.4054054054054053</c:v>
                </c:pt>
                <c:pt idx="2">
                  <c:v>2.1486486486486487</c:v>
                </c:pt>
                <c:pt idx="3">
                  <c:v>2.3243243243243241</c:v>
                </c:pt>
                <c:pt idx="4">
                  <c:v>2.6216216216216215</c:v>
                </c:pt>
                <c:pt idx="5">
                  <c:v>2.4459459459459461</c:v>
                </c:pt>
                <c:pt idx="6">
                  <c:v>3.1351351351351351</c:v>
                </c:pt>
                <c:pt idx="7">
                  <c:v>1.7702702702702702</c:v>
                </c:pt>
                <c:pt idx="8">
                  <c:v>2</c:v>
                </c:pt>
                <c:pt idx="9">
                  <c:v>1.6756756756756757</c:v>
                </c:pt>
                <c:pt idx="10">
                  <c:v>2.9054054054054053</c:v>
                </c:pt>
                <c:pt idx="11">
                  <c:v>2.2432432432432434</c:v>
                </c:pt>
                <c:pt idx="12">
                  <c:v>2.1756756756756759</c:v>
                </c:pt>
                <c:pt idx="13">
                  <c:v>2.8513513513513513</c:v>
                </c:pt>
                <c:pt idx="14">
                  <c:v>2.8648648648648649</c:v>
                </c:pt>
                <c:pt idx="15">
                  <c:v>1.9324324324324325</c:v>
                </c:pt>
                <c:pt idx="16">
                  <c:v>1.9189189189189189</c:v>
                </c:pt>
                <c:pt idx="17">
                  <c:v>2.810810810810811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05-4084-88D4-F239F18B175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1"/>
        </c:dLbls>
        <c:gapWidth val="45"/>
        <c:shape val="box"/>
        <c:axId val="409928416"/>
        <c:axId val="2134762032"/>
        <c:axId val="0"/>
      </c:bar3DChart>
      <c:catAx>
        <c:axId val="4099284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 sz="900"/>
            </a:pPr>
            <a:endParaRPr lang="en-US"/>
          </a:p>
        </c:txPr>
        <c:crossAx val="2134762032"/>
        <c:crosses val="autoZero"/>
        <c:auto val="1"/>
        <c:lblAlgn val="ctr"/>
        <c:lblOffset val="100"/>
        <c:noMultiLvlLbl val="0"/>
      </c:catAx>
      <c:valAx>
        <c:axId val="2134762032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n-US"/>
          </a:p>
        </c:txPr>
        <c:crossAx val="409928416"/>
        <c:crosses val="autoZero"/>
        <c:crossBetween val="between"/>
      </c:valAx>
    </c:plotArea>
    <c:plotVisOnly val="1"/>
    <c:dispBlanksAs val="gap"/>
    <c:showDLblsOverMax val="1"/>
  </c:chart>
  <c:spPr>
    <a:solidFill>
      <a:srgbClr val="E8E8E8"/>
    </a:solidFill>
    <a:ln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 sz="1500" b="1"/>
            </a:pPr>
            <a:r>
              <a:rPr lang="en-US" sz="1500" b="1"/>
              <a:t>USPESNOST STUDENTOV</a:t>
            </a:r>
          </a:p>
        </c:rich>
      </c:tx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v>Pocet pokusov</c:v>
          </c:tx>
          <c:spPr>
            <a:solidFill>
              <a:srgbClr val="F6C7B6"/>
            </a:solidFill>
            <a:ln>
              <a:solidFill>
                <a:srgbClr val="EF7042"/>
              </a:solidFill>
              <a:prstDash val="solid"/>
            </a:ln>
          </c:spPr>
          <c:invertIfNegative val="0"/>
          <c:cat>
            <c:strRef>
              <c:f>Sheet1!$B$33:$B$50</c:f>
              <c:strCache>
                <c:ptCount val="18"/>
                <c:pt idx="0">
                  <c:v>Koncova Monika</c:v>
                </c:pt>
                <c:pt idx="1">
                  <c:v>Kovac Emanuel</c:v>
                </c:pt>
                <c:pt idx="2">
                  <c:v>Kovac Marek</c:v>
                </c:pt>
                <c:pt idx="3">
                  <c:v>Kovacova Denisa</c:v>
                </c:pt>
                <c:pt idx="4">
                  <c:v>Liso Anton</c:v>
                </c:pt>
                <c:pt idx="5">
                  <c:v>Mlynarova kristina</c:v>
                </c:pt>
                <c:pt idx="6">
                  <c:v>Novotna jana</c:v>
                </c:pt>
                <c:pt idx="7">
                  <c:v>Novy Anton</c:v>
                </c:pt>
                <c:pt idx="8">
                  <c:v>Novy Miro</c:v>
                </c:pt>
                <c:pt idx="9">
                  <c:v>Papulakova Vanesa</c:v>
                </c:pt>
                <c:pt idx="10">
                  <c:v>Sisovsky Rasto</c:v>
                </c:pt>
                <c:pt idx="11">
                  <c:v>Smutna Paula</c:v>
                </c:pt>
                <c:pt idx="12">
                  <c:v>Smutny Marian</c:v>
                </c:pt>
                <c:pt idx="13">
                  <c:v>Vesely David</c:v>
                </c:pt>
                <c:pt idx="14">
                  <c:v>Vesely Denis</c:v>
                </c:pt>
                <c:pt idx="15">
                  <c:v>Ziacik Oliver</c:v>
                </c:pt>
                <c:pt idx="16">
                  <c:v>Ziacikova Marianna</c:v>
                </c:pt>
                <c:pt idx="17">
                  <c:v>Zuffova Patricia</c:v>
                </c:pt>
              </c:strCache>
            </c:strRef>
          </c:cat>
          <c:val>
            <c:numRef>
              <c:f>Sheet1!$E$33:$E$50</c:f>
              <c:numCache>
                <c:formatCode>0</c:formatCode>
                <c:ptCount val="18"/>
                <c:pt idx="0">
                  <c:v>12</c:v>
                </c:pt>
                <c:pt idx="1">
                  <c:v>13</c:v>
                </c:pt>
                <c:pt idx="2">
                  <c:v>12</c:v>
                </c:pt>
                <c:pt idx="3">
                  <c:v>14</c:v>
                </c:pt>
                <c:pt idx="4">
                  <c:v>11</c:v>
                </c:pt>
                <c:pt idx="5">
                  <c:v>11</c:v>
                </c:pt>
                <c:pt idx="6">
                  <c:v>12</c:v>
                </c:pt>
                <c:pt idx="7">
                  <c:v>8</c:v>
                </c:pt>
                <c:pt idx="8">
                  <c:v>12</c:v>
                </c:pt>
                <c:pt idx="9">
                  <c:v>10</c:v>
                </c:pt>
                <c:pt idx="10">
                  <c:v>14</c:v>
                </c:pt>
                <c:pt idx="11">
                  <c:v>14</c:v>
                </c:pt>
                <c:pt idx="12">
                  <c:v>10</c:v>
                </c:pt>
                <c:pt idx="13">
                  <c:v>9</c:v>
                </c:pt>
                <c:pt idx="14">
                  <c:v>11</c:v>
                </c:pt>
                <c:pt idx="15">
                  <c:v>14</c:v>
                </c:pt>
                <c:pt idx="16">
                  <c:v>10</c:v>
                </c:pt>
                <c:pt idx="17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F9-4818-8958-DF5CB74481D5}"/>
            </c:ext>
          </c:extLst>
        </c:ser>
        <c:ser>
          <c:idx val="1"/>
          <c:order val="1"/>
          <c:tx>
            <c:v>Priemerna znamka</c:v>
          </c:tx>
          <c:spPr>
            <a:solidFill>
              <a:srgbClr val="CF5B2A"/>
            </a:solidFill>
            <a:ln>
              <a:solidFill>
                <a:srgbClr val="97411B"/>
              </a:solidFill>
              <a:prstDash val="solid"/>
            </a:ln>
          </c:spPr>
          <c:invertIfNegative val="0"/>
          <c:cat>
            <c:strRef>
              <c:f>Sheet1!$B$33:$B$50</c:f>
              <c:strCache>
                <c:ptCount val="18"/>
                <c:pt idx="0">
                  <c:v>Koncova Monika</c:v>
                </c:pt>
                <c:pt idx="1">
                  <c:v>Kovac Emanuel</c:v>
                </c:pt>
                <c:pt idx="2">
                  <c:v>Kovac Marek</c:v>
                </c:pt>
                <c:pt idx="3">
                  <c:v>Kovacova Denisa</c:v>
                </c:pt>
                <c:pt idx="4">
                  <c:v>Liso Anton</c:v>
                </c:pt>
                <c:pt idx="5">
                  <c:v>Mlynarova kristina</c:v>
                </c:pt>
                <c:pt idx="6">
                  <c:v>Novotna jana</c:v>
                </c:pt>
                <c:pt idx="7">
                  <c:v>Novy Anton</c:v>
                </c:pt>
                <c:pt idx="8">
                  <c:v>Novy Miro</c:v>
                </c:pt>
                <c:pt idx="9">
                  <c:v>Papulakova Vanesa</c:v>
                </c:pt>
                <c:pt idx="10">
                  <c:v>Sisovsky Rasto</c:v>
                </c:pt>
                <c:pt idx="11">
                  <c:v>Smutna Paula</c:v>
                </c:pt>
                <c:pt idx="12">
                  <c:v>Smutny Marian</c:v>
                </c:pt>
                <c:pt idx="13">
                  <c:v>Vesely David</c:v>
                </c:pt>
                <c:pt idx="14">
                  <c:v>Vesely Denis</c:v>
                </c:pt>
                <c:pt idx="15">
                  <c:v>Ziacik Oliver</c:v>
                </c:pt>
                <c:pt idx="16">
                  <c:v>Ziacikova Marianna</c:v>
                </c:pt>
                <c:pt idx="17">
                  <c:v>Zuffova Patricia</c:v>
                </c:pt>
              </c:strCache>
            </c:strRef>
          </c:cat>
          <c:val>
            <c:numRef>
              <c:f>Sheet1!$D$33:$D$50</c:f>
              <c:numCache>
                <c:formatCode>0.00</c:formatCode>
                <c:ptCount val="18"/>
                <c:pt idx="0">
                  <c:v>2.5</c:v>
                </c:pt>
                <c:pt idx="1">
                  <c:v>2.5</c:v>
                </c:pt>
                <c:pt idx="2">
                  <c:v>2.0833333333333335</c:v>
                </c:pt>
                <c:pt idx="3">
                  <c:v>2.25</c:v>
                </c:pt>
                <c:pt idx="4">
                  <c:v>2.6666666666666665</c:v>
                </c:pt>
                <c:pt idx="5">
                  <c:v>2.4166666666666665</c:v>
                </c:pt>
                <c:pt idx="6">
                  <c:v>3.1666666666666665</c:v>
                </c:pt>
                <c:pt idx="7">
                  <c:v>1.75</c:v>
                </c:pt>
                <c:pt idx="8">
                  <c:v>2</c:v>
                </c:pt>
                <c:pt idx="9">
                  <c:v>1.6666666666666667</c:v>
                </c:pt>
                <c:pt idx="10">
                  <c:v>2.9166666666666665</c:v>
                </c:pt>
                <c:pt idx="11">
                  <c:v>2.1666666666666665</c:v>
                </c:pt>
                <c:pt idx="12">
                  <c:v>2.25</c:v>
                </c:pt>
                <c:pt idx="13">
                  <c:v>2.9166666666666665</c:v>
                </c:pt>
                <c:pt idx="14">
                  <c:v>2.9166666666666665</c:v>
                </c:pt>
                <c:pt idx="15">
                  <c:v>1.9166666666666667</c:v>
                </c:pt>
                <c:pt idx="16">
                  <c:v>1.8333333333333333</c:v>
                </c:pt>
                <c:pt idx="17">
                  <c:v>2.8333333333333335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EF9-4818-8958-DF5CB74481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shape val="box"/>
        <c:axId val="409927952"/>
        <c:axId val="431574864"/>
        <c:axId val="0"/>
      </c:bar3DChart>
      <c:catAx>
        <c:axId val="40992795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n-US"/>
          </a:p>
        </c:txPr>
        <c:crossAx val="431574864"/>
        <c:crosses val="autoZero"/>
        <c:auto val="1"/>
        <c:lblAlgn val="ctr"/>
        <c:lblOffset val="100"/>
        <c:noMultiLvlLbl val="0"/>
      </c:catAx>
      <c:valAx>
        <c:axId val="431574864"/>
        <c:scaling>
          <c:orientation val="minMax"/>
        </c:scaling>
        <c:delete val="0"/>
        <c:axPos val="b"/>
        <c:majorGridlines/>
        <c:numFmt formatCode="0" sourceLinked="1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n-US"/>
          </a:p>
        </c:txPr>
        <c:crossAx val="409927952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1"/>
  </c:chart>
  <c:spPr>
    <a:solidFill>
      <a:srgbClr val="E8E8E8"/>
    </a:solidFill>
    <a:ln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14377</xdr:colOff>
      <xdr:row>31</xdr:row>
      <xdr:rowOff>28755</xdr:rowOff>
    </xdr:from>
    <xdr:to>
      <xdr:col>31</xdr:col>
      <xdr:colOff>513991</xdr:colOff>
      <xdr:row>56</xdr:row>
      <xdr:rowOff>155755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17875</xdr:colOff>
      <xdr:row>31</xdr:row>
      <xdr:rowOff>14377</xdr:rowOff>
    </xdr:from>
    <xdr:to>
      <xdr:col>22</xdr:col>
      <xdr:colOff>-1</xdr:colOff>
      <xdr:row>71</xdr:row>
      <xdr:rowOff>163423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tudentiTable" displayName="StudentiTable" ref="B5:AA23" totalsRowShown="0">
  <autoFilter ref="B5:AA23" xr:uid="{00000000-0009-0000-0100-000001000000}"/>
  <tableColumns count="26">
    <tableColumn id="1" xr3:uid="{00000000-0010-0000-0000-000001000000}" name="Meno" dataDxfId="24"/>
    <tableColumn id="2" xr3:uid="{00000000-0010-0000-0000-000002000000}" name="Priezvisko" dataDxfId="23"/>
    <tableColumn id="3" xr3:uid="{00000000-0010-0000-0000-000003000000}" name="Znamka" dataDxfId="22"/>
    <tableColumn id="4" xr3:uid="{00000000-0010-0000-0000-000004000000}" name="Pokusy" dataDxfId="21"/>
    <tableColumn id="5" xr3:uid="{00000000-0010-0000-0000-000005000000}" name="Kredity" dataDxfId="20"/>
    <tableColumn id="6" xr3:uid="{00000000-0010-0000-0000-000006000000}" name="Znamka2" dataDxfId="19"/>
    <tableColumn id="7" xr3:uid="{00000000-0010-0000-0000-000007000000}" name="Pokusy2" dataDxfId="18"/>
    <tableColumn id="8" xr3:uid="{00000000-0010-0000-0000-000008000000}" name="Kredity2" dataDxfId="17"/>
    <tableColumn id="9" xr3:uid="{00000000-0010-0000-0000-000009000000}" name="Znamka3" dataDxfId="16"/>
    <tableColumn id="10" xr3:uid="{00000000-0010-0000-0000-00000A000000}" name="Pokusy3" dataDxfId="15"/>
    <tableColumn id="11" xr3:uid="{00000000-0010-0000-0000-00000B000000}" name="Kredity3" dataDxfId="14"/>
    <tableColumn id="12" xr3:uid="{00000000-0010-0000-0000-00000C000000}" name="Znamka4" dataDxfId="13"/>
    <tableColumn id="13" xr3:uid="{00000000-0010-0000-0000-00000D000000}" name="Pokusy4" dataDxfId="12"/>
    <tableColumn id="14" xr3:uid="{00000000-0010-0000-0000-00000E000000}" name="Kredity4" dataDxfId="11"/>
    <tableColumn id="15" xr3:uid="{00000000-0010-0000-0000-00000F000000}" name="Znamka5" dataDxfId="10"/>
    <tableColumn id="16" xr3:uid="{00000000-0010-0000-0000-000010000000}" name="Pokusy5" dataDxfId="9"/>
    <tableColumn id="17" xr3:uid="{00000000-0010-0000-0000-000011000000}" name="Kredity5" dataDxfId="8"/>
    <tableColumn id="18" xr3:uid="{00000000-0010-0000-0000-000012000000}" name="Znamka6" dataDxfId="7"/>
    <tableColumn id="19" xr3:uid="{00000000-0010-0000-0000-000013000000}" name="Pokusy6" dataDxfId="6"/>
    <tableColumn id="20" xr3:uid="{00000000-0010-0000-0000-000014000000}" name="Kredity6" dataDxfId="5"/>
    <tableColumn id="21" xr3:uid="{00000000-0010-0000-0000-000015000000}" name="Ziskane kredity" dataDxfId="4"/>
    <tableColumn id="22" xr3:uid="{00000000-0010-0000-0000-000016000000}" name="Priemerna znamka" dataDxfId="3"/>
    <tableColumn id="23" xr3:uid="{00000000-0010-0000-0000-000017000000}" name="Priemerny pocet pokusov" dataDxfId="2"/>
    <tableColumn id="24" xr3:uid="{00000000-0010-0000-0000-000018000000}" name="VSP" dataDxfId="1"/>
    <tableColumn id="25" xr3:uid="{00000000-0010-0000-0000-000019000000}" name="Sucet znamok"/>
    <tableColumn id="26" xr3:uid="{00000000-0010-0000-0000-00001A000000}" name="Pocet pokusov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/>
  </sheetPr>
  <dimension ref="A1:AM136"/>
  <sheetViews>
    <sheetView tabSelected="1" topLeftCell="A116" zoomScale="94" workbookViewId="0">
      <selection activeCell="N129" sqref="N129"/>
    </sheetView>
  </sheetViews>
  <sheetFormatPr defaultRowHeight="14.4" x14ac:dyDescent="0.3"/>
  <cols>
    <col min="2" max="2" width="29.5546875" customWidth="1"/>
    <col min="3" max="7" width="13.109375" customWidth="1"/>
    <col min="8" max="8" width="15.33203125" customWidth="1"/>
    <col min="9" max="9" width="13.21875" customWidth="1"/>
    <col min="10" max="10" width="10.44140625" customWidth="1"/>
    <col min="11" max="11" width="11.44140625" customWidth="1"/>
    <col min="12" max="12" width="14" customWidth="1"/>
    <col min="13" max="14" width="11.44140625" customWidth="1"/>
    <col min="15" max="15" width="6.88671875" customWidth="1"/>
    <col min="16" max="17" width="11.44140625" customWidth="1"/>
    <col min="18" max="18" width="6.88671875" customWidth="1"/>
    <col min="19" max="20" width="11.44140625" customWidth="1"/>
    <col min="21" max="21" width="6.88671875" customWidth="1"/>
    <col min="22" max="22" width="13.77734375" customWidth="1"/>
    <col min="23" max="23" width="20.88671875" customWidth="1"/>
    <col min="24" max="24" width="24" customWidth="1"/>
    <col min="25" max="25" width="16.5546875" customWidth="1"/>
    <col min="26" max="27" width="14" customWidth="1"/>
  </cols>
  <sheetData>
    <row r="1" spans="2:39" ht="12" customHeight="1" x14ac:dyDescent="0.3">
      <c r="L1" t="s">
        <v>0</v>
      </c>
    </row>
    <row r="2" spans="2:39" ht="20.7" customHeight="1" x14ac:dyDescent="0.3">
      <c r="B2" s="90" t="s">
        <v>1</v>
      </c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  <c r="AA2" s="74"/>
    </row>
    <row r="3" spans="2:39" x14ac:dyDescent="0.3">
      <c r="B3" s="91"/>
      <c r="C3" s="91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1"/>
      <c r="T3" s="91"/>
      <c r="U3" s="91"/>
      <c r="V3" s="91"/>
      <c r="W3" s="91"/>
      <c r="X3" s="91"/>
      <c r="Y3" s="91"/>
      <c r="Z3" s="91"/>
      <c r="AA3" s="91"/>
      <c r="AB3" s="46"/>
      <c r="AC3" s="46"/>
      <c r="AD3" s="46"/>
      <c r="AE3" s="46"/>
      <c r="AF3" s="46"/>
      <c r="AG3" s="46"/>
      <c r="AH3" s="46"/>
      <c r="AI3" s="46"/>
      <c r="AJ3" s="46"/>
      <c r="AK3" s="46"/>
      <c r="AL3" s="46"/>
      <c r="AM3" s="46"/>
    </row>
    <row r="4" spans="2:39" ht="20.25" customHeight="1" x14ac:dyDescent="0.3">
      <c r="B4" s="2" t="s">
        <v>2</v>
      </c>
      <c r="C4" s="2" t="s">
        <v>3</v>
      </c>
      <c r="D4" s="3" t="s">
        <v>4</v>
      </c>
      <c r="E4" s="3"/>
      <c r="F4" s="31">
        <v>6</v>
      </c>
      <c r="G4" s="71" t="s">
        <v>5</v>
      </c>
      <c r="H4" s="72"/>
      <c r="I4" s="32">
        <v>7</v>
      </c>
      <c r="J4" s="71" t="s">
        <v>6</v>
      </c>
      <c r="K4" s="72"/>
      <c r="L4" s="32">
        <v>6</v>
      </c>
      <c r="M4" s="71" t="s">
        <v>7</v>
      </c>
      <c r="N4" s="72"/>
      <c r="O4" s="31">
        <v>7</v>
      </c>
      <c r="P4" s="71" t="s">
        <v>8</v>
      </c>
      <c r="Q4" s="72"/>
      <c r="R4" s="32">
        <v>6</v>
      </c>
      <c r="S4" s="71" t="s">
        <v>9</v>
      </c>
      <c r="T4" s="86"/>
      <c r="U4" s="72"/>
      <c r="V4" s="4" t="s">
        <v>10</v>
      </c>
      <c r="W4" s="4" t="s">
        <v>11</v>
      </c>
      <c r="X4" s="4" t="s">
        <v>12</v>
      </c>
      <c r="Y4" s="4" t="s">
        <v>13</v>
      </c>
      <c r="Z4" s="33" t="s">
        <v>14</v>
      </c>
      <c r="AA4" s="33" t="s">
        <v>15</v>
      </c>
    </row>
    <row r="5" spans="2:39" s="1" customFormat="1" ht="49.95" customHeight="1" x14ac:dyDescent="0.3">
      <c r="B5" s="9" t="s">
        <v>2</v>
      </c>
      <c r="C5" s="9" t="s">
        <v>3</v>
      </c>
      <c r="D5" s="9" t="s">
        <v>16</v>
      </c>
      <c r="E5" s="9" t="s">
        <v>17</v>
      </c>
      <c r="F5" s="34" t="s">
        <v>18</v>
      </c>
      <c r="G5" s="9" t="s">
        <v>19</v>
      </c>
      <c r="H5" s="9" t="s">
        <v>20</v>
      </c>
      <c r="I5" s="34" t="s">
        <v>21</v>
      </c>
      <c r="J5" s="9" t="s">
        <v>22</v>
      </c>
      <c r="K5" s="9" t="s">
        <v>23</v>
      </c>
      <c r="L5" s="34" t="s">
        <v>24</v>
      </c>
      <c r="M5" s="9" t="s">
        <v>25</v>
      </c>
      <c r="N5" s="9" t="s">
        <v>26</v>
      </c>
      <c r="O5" s="34" t="s">
        <v>27</v>
      </c>
      <c r="P5" s="9" t="s">
        <v>28</v>
      </c>
      <c r="Q5" s="9" t="s">
        <v>29</v>
      </c>
      <c r="R5" s="34" t="s">
        <v>30</v>
      </c>
      <c r="S5" s="9" t="s">
        <v>31</v>
      </c>
      <c r="T5" s="9" t="s">
        <v>32</v>
      </c>
      <c r="U5" s="35" t="s">
        <v>33</v>
      </c>
      <c r="V5" s="5" t="s">
        <v>10</v>
      </c>
      <c r="W5" s="5" t="s">
        <v>11</v>
      </c>
      <c r="X5" s="5" t="s">
        <v>12</v>
      </c>
      <c r="Y5" s="5" t="s">
        <v>13</v>
      </c>
      <c r="Z5" s="36" t="s">
        <v>14</v>
      </c>
      <c r="AA5" s="36" t="s">
        <v>15</v>
      </c>
    </row>
    <row r="6" spans="2:39" ht="14.4" customHeight="1" x14ac:dyDescent="0.3">
      <c r="B6" s="10" t="s">
        <v>34</v>
      </c>
      <c r="C6" s="10" t="s">
        <v>35</v>
      </c>
      <c r="D6" s="12">
        <v>3</v>
      </c>
      <c r="E6" s="11">
        <v>1</v>
      </c>
      <c r="F6" s="37">
        <v>6</v>
      </c>
      <c r="G6" s="12">
        <v>1</v>
      </c>
      <c r="H6" s="11">
        <v>1</v>
      </c>
      <c r="I6" s="37">
        <v>7</v>
      </c>
      <c r="J6" s="12">
        <v>2</v>
      </c>
      <c r="K6" s="11">
        <v>3</v>
      </c>
      <c r="L6" s="37">
        <v>6</v>
      </c>
      <c r="M6" s="12">
        <v>4</v>
      </c>
      <c r="N6" s="11">
        <v>2</v>
      </c>
      <c r="O6" s="37">
        <v>7</v>
      </c>
      <c r="P6" s="12">
        <v>3</v>
      </c>
      <c r="Q6" s="11">
        <v>3</v>
      </c>
      <c r="R6" s="37">
        <v>6</v>
      </c>
      <c r="S6" s="12">
        <v>2</v>
      </c>
      <c r="T6" s="11">
        <v>2</v>
      </c>
      <c r="U6" s="38">
        <v>5</v>
      </c>
      <c r="V6" s="6">
        <f t="shared" ref="V6:V23" si="0">IF(D6&lt;4,F6,0)+IF(G6&lt;4,I6,0)+IF(J6&lt;4,L6,0)+IF(M6&lt;4,O6,0)+IF(P6&lt;4,R6,0)+IF(S6&lt;4,U6,0)</f>
        <v>30</v>
      </c>
      <c r="W6" s="7">
        <f t="shared" ref="W6:W23" si="1">AVERAGE(D6,G6,J6,M6,P6,S6)</f>
        <v>2.5</v>
      </c>
      <c r="X6" s="7">
        <f t="shared" ref="X6:X23" si="2">AVERAGE(E6,H6,K6,N6,Q6,T6)</f>
        <v>2</v>
      </c>
      <c r="Y6" s="8">
        <f t="shared" ref="Y6:Y23" si="3">(D6*F6+G6*I6+J6*L6+M6*O6+P6*R6+S6*U6)/SUM(F6,I6,L6,O6,R6,U6)</f>
        <v>2.5135135135135136</v>
      </c>
      <c r="Z6" s="39">
        <f t="shared" ref="Z6:Z23" si="4">SUM(D6,G6,J6,M6,P6,S6)</f>
        <v>15</v>
      </c>
      <c r="AA6" s="40">
        <f t="shared" ref="AA6:AA23" si="5">SUM(E6,H6,K6,N6,Q6,T6)</f>
        <v>12</v>
      </c>
    </row>
    <row r="7" spans="2:39" ht="14.4" customHeight="1" x14ac:dyDescent="0.3">
      <c r="B7" s="10" t="s">
        <v>36</v>
      </c>
      <c r="C7" s="10" t="s">
        <v>37</v>
      </c>
      <c r="D7" s="12">
        <v>1</v>
      </c>
      <c r="E7" s="11">
        <v>3</v>
      </c>
      <c r="F7" s="37">
        <v>6</v>
      </c>
      <c r="G7" s="12">
        <v>1</v>
      </c>
      <c r="H7" s="11">
        <v>1</v>
      </c>
      <c r="I7" s="37">
        <v>7</v>
      </c>
      <c r="J7" s="12">
        <v>3</v>
      </c>
      <c r="K7" s="11">
        <v>2</v>
      </c>
      <c r="L7" s="37">
        <v>6</v>
      </c>
      <c r="M7" s="12">
        <v>2</v>
      </c>
      <c r="N7" s="11">
        <v>3</v>
      </c>
      <c r="O7" s="37">
        <v>7</v>
      </c>
      <c r="P7" s="12">
        <v>4</v>
      </c>
      <c r="Q7" s="11">
        <v>3</v>
      </c>
      <c r="R7" s="37">
        <v>6</v>
      </c>
      <c r="S7" s="12">
        <v>4</v>
      </c>
      <c r="T7" s="11">
        <v>1</v>
      </c>
      <c r="U7" s="38">
        <v>5</v>
      </c>
      <c r="V7" s="6">
        <f t="shared" si="0"/>
        <v>26</v>
      </c>
      <c r="W7" s="7">
        <f t="shared" si="1"/>
        <v>2.5</v>
      </c>
      <c r="X7" s="7">
        <f t="shared" si="2"/>
        <v>2.1666666666666665</v>
      </c>
      <c r="Y7" s="8">
        <f t="shared" si="3"/>
        <v>2.4054054054054053</v>
      </c>
      <c r="Z7" s="39">
        <f t="shared" si="4"/>
        <v>15</v>
      </c>
      <c r="AA7" s="40">
        <f t="shared" si="5"/>
        <v>13</v>
      </c>
    </row>
    <row r="8" spans="2:39" ht="14.4" customHeight="1" x14ac:dyDescent="0.3">
      <c r="B8" s="10" t="s">
        <v>38</v>
      </c>
      <c r="C8" s="10" t="s">
        <v>37</v>
      </c>
      <c r="D8" s="12">
        <v>1</v>
      </c>
      <c r="E8" s="11">
        <v>2</v>
      </c>
      <c r="F8" s="37">
        <v>6</v>
      </c>
      <c r="G8" s="12">
        <v>2</v>
      </c>
      <c r="H8" s="11">
        <v>3</v>
      </c>
      <c r="I8" s="37">
        <v>7</v>
      </c>
      <c r="J8" s="12">
        <v>2</v>
      </c>
      <c r="K8" s="11">
        <v>2</v>
      </c>
      <c r="L8" s="37">
        <v>6</v>
      </c>
      <c r="M8" s="12">
        <v>4</v>
      </c>
      <c r="N8" s="11">
        <v>1</v>
      </c>
      <c r="O8" s="37">
        <v>7</v>
      </c>
      <c r="P8" s="12">
        <v>2</v>
      </c>
      <c r="Q8" s="11">
        <v>1</v>
      </c>
      <c r="R8" s="37">
        <v>6</v>
      </c>
      <c r="S8" s="12">
        <v>1.5</v>
      </c>
      <c r="T8" s="11">
        <v>3</v>
      </c>
      <c r="U8" s="38">
        <v>5</v>
      </c>
      <c r="V8" s="6">
        <f t="shared" si="0"/>
        <v>30</v>
      </c>
      <c r="W8" s="7">
        <f t="shared" si="1"/>
        <v>2.0833333333333335</v>
      </c>
      <c r="X8" s="7">
        <f t="shared" si="2"/>
        <v>2</v>
      </c>
      <c r="Y8" s="8">
        <f t="shared" si="3"/>
        <v>2.1486486486486487</v>
      </c>
      <c r="Z8" s="39">
        <f t="shared" si="4"/>
        <v>12.5</v>
      </c>
      <c r="AA8" s="40">
        <f t="shared" si="5"/>
        <v>12</v>
      </c>
    </row>
    <row r="9" spans="2:39" ht="14.4" customHeight="1" x14ac:dyDescent="0.3">
      <c r="B9" s="10" t="s">
        <v>39</v>
      </c>
      <c r="C9" s="10" t="s">
        <v>40</v>
      </c>
      <c r="D9" s="12">
        <v>1.5</v>
      </c>
      <c r="E9" s="11">
        <v>3</v>
      </c>
      <c r="F9" s="37">
        <v>6</v>
      </c>
      <c r="G9" s="12">
        <v>4</v>
      </c>
      <c r="H9" s="11">
        <v>2</v>
      </c>
      <c r="I9" s="37">
        <v>7</v>
      </c>
      <c r="J9" s="12">
        <v>1</v>
      </c>
      <c r="K9" s="11">
        <v>3</v>
      </c>
      <c r="L9" s="37">
        <v>6</v>
      </c>
      <c r="M9" s="12">
        <v>2</v>
      </c>
      <c r="N9" s="11">
        <v>2</v>
      </c>
      <c r="O9" s="37">
        <v>7</v>
      </c>
      <c r="P9" s="12">
        <v>4</v>
      </c>
      <c r="Q9" s="11">
        <v>2</v>
      </c>
      <c r="R9" s="37">
        <v>6</v>
      </c>
      <c r="S9" s="12">
        <v>1</v>
      </c>
      <c r="T9" s="11">
        <v>2</v>
      </c>
      <c r="U9" s="38">
        <v>5</v>
      </c>
      <c r="V9" s="6">
        <f t="shared" si="0"/>
        <v>24</v>
      </c>
      <c r="W9" s="7">
        <f t="shared" si="1"/>
        <v>2.25</v>
      </c>
      <c r="X9" s="7">
        <f t="shared" si="2"/>
        <v>2.3333333333333335</v>
      </c>
      <c r="Y9" s="8">
        <f t="shared" si="3"/>
        <v>2.3243243243243241</v>
      </c>
      <c r="Z9" s="39">
        <f t="shared" si="4"/>
        <v>13.5</v>
      </c>
      <c r="AA9" s="40">
        <f t="shared" si="5"/>
        <v>14</v>
      </c>
    </row>
    <row r="10" spans="2:39" ht="14.4" customHeight="1" x14ac:dyDescent="0.3">
      <c r="B10" s="10" t="s">
        <v>41</v>
      </c>
      <c r="C10" s="10" t="s">
        <v>42</v>
      </c>
      <c r="D10" s="13">
        <v>2</v>
      </c>
      <c r="E10" s="11">
        <v>2</v>
      </c>
      <c r="F10" s="37">
        <v>6</v>
      </c>
      <c r="G10" s="12">
        <v>1</v>
      </c>
      <c r="H10" s="11">
        <v>1</v>
      </c>
      <c r="I10" s="37">
        <v>7</v>
      </c>
      <c r="J10" s="12">
        <v>3</v>
      </c>
      <c r="K10" s="11">
        <v>1</v>
      </c>
      <c r="L10" s="37">
        <v>6</v>
      </c>
      <c r="M10" s="12">
        <v>4</v>
      </c>
      <c r="N10" s="11">
        <v>3</v>
      </c>
      <c r="O10" s="37">
        <v>7</v>
      </c>
      <c r="P10" s="12">
        <v>2</v>
      </c>
      <c r="Q10" s="11">
        <v>1</v>
      </c>
      <c r="R10" s="37">
        <v>6</v>
      </c>
      <c r="S10" s="12">
        <v>4</v>
      </c>
      <c r="T10" s="11">
        <v>3</v>
      </c>
      <c r="U10" s="38">
        <v>5</v>
      </c>
      <c r="V10" s="6">
        <f t="shared" si="0"/>
        <v>25</v>
      </c>
      <c r="W10" s="7">
        <f t="shared" si="1"/>
        <v>2.6666666666666665</v>
      </c>
      <c r="X10" s="7">
        <f t="shared" si="2"/>
        <v>1.8333333333333333</v>
      </c>
      <c r="Y10" s="8">
        <f t="shared" si="3"/>
        <v>2.6216216216216215</v>
      </c>
      <c r="Z10" s="39">
        <f t="shared" si="4"/>
        <v>16</v>
      </c>
      <c r="AA10" s="40">
        <f t="shared" si="5"/>
        <v>11</v>
      </c>
    </row>
    <row r="11" spans="2:39" ht="14.4" customHeight="1" x14ac:dyDescent="0.3">
      <c r="B11" s="10" t="s">
        <v>43</v>
      </c>
      <c r="C11" s="10" t="s">
        <v>44</v>
      </c>
      <c r="D11" s="12">
        <v>2</v>
      </c>
      <c r="E11" s="11">
        <v>1</v>
      </c>
      <c r="F11" s="37">
        <v>6</v>
      </c>
      <c r="G11" s="12">
        <v>2</v>
      </c>
      <c r="H11" s="11">
        <v>3</v>
      </c>
      <c r="I11" s="37">
        <v>7</v>
      </c>
      <c r="J11" s="12">
        <v>4</v>
      </c>
      <c r="K11" s="11">
        <v>2</v>
      </c>
      <c r="L11" s="37">
        <v>6</v>
      </c>
      <c r="M11" s="12">
        <v>3</v>
      </c>
      <c r="N11" s="11">
        <v>3</v>
      </c>
      <c r="O11" s="37">
        <v>7</v>
      </c>
      <c r="P11" s="12">
        <v>2</v>
      </c>
      <c r="Q11" s="11">
        <v>1</v>
      </c>
      <c r="R11" s="37">
        <v>6</v>
      </c>
      <c r="S11" s="12">
        <v>1.5</v>
      </c>
      <c r="T11" s="11">
        <v>1</v>
      </c>
      <c r="U11" s="38">
        <v>5</v>
      </c>
      <c r="V11" s="6">
        <f t="shared" si="0"/>
        <v>31</v>
      </c>
      <c r="W11" s="7">
        <f t="shared" si="1"/>
        <v>2.4166666666666665</v>
      </c>
      <c r="X11" s="7">
        <f t="shared" si="2"/>
        <v>1.8333333333333333</v>
      </c>
      <c r="Y11" s="8">
        <f t="shared" si="3"/>
        <v>2.4459459459459461</v>
      </c>
      <c r="Z11" s="39">
        <f t="shared" si="4"/>
        <v>14.5</v>
      </c>
      <c r="AA11" s="40">
        <f t="shared" si="5"/>
        <v>11</v>
      </c>
    </row>
    <row r="12" spans="2:39" ht="14.4" customHeight="1" x14ac:dyDescent="0.3">
      <c r="B12" s="10" t="s">
        <v>45</v>
      </c>
      <c r="C12" s="10" t="s">
        <v>46</v>
      </c>
      <c r="D12" s="12">
        <v>4</v>
      </c>
      <c r="E12" s="11">
        <v>2</v>
      </c>
      <c r="F12" s="37">
        <v>6</v>
      </c>
      <c r="G12" s="12">
        <v>3</v>
      </c>
      <c r="H12" s="11">
        <v>1</v>
      </c>
      <c r="I12" s="37">
        <v>7</v>
      </c>
      <c r="J12" s="12">
        <v>3</v>
      </c>
      <c r="K12" s="11">
        <v>1</v>
      </c>
      <c r="L12" s="37">
        <v>6</v>
      </c>
      <c r="M12" s="12">
        <v>2</v>
      </c>
      <c r="N12" s="11">
        <v>2</v>
      </c>
      <c r="O12" s="37">
        <v>7</v>
      </c>
      <c r="P12" s="12">
        <v>4</v>
      </c>
      <c r="Q12" s="11">
        <v>3</v>
      </c>
      <c r="R12" s="37">
        <v>6</v>
      </c>
      <c r="S12" s="12">
        <v>3</v>
      </c>
      <c r="T12" s="11">
        <v>3</v>
      </c>
      <c r="U12" s="38">
        <v>5</v>
      </c>
      <c r="V12" s="6">
        <f t="shared" si="0"/>
        <v>25</v>
      </c>
      <c r="W12" s="7">
        <f t="shared" si="1"/>
        <v>3.1666666666666665</v>
      </c>
      <c r="X12" s="7">
        <f t="shared" si="2"/>
        <v>2</v>
      </c>
      <c r="Y12" s="8">
        <f t="shared" si="3"/>
        <v>3.1351351351351351</v>
      </c>
      <c r="Z12" s="39">
        <f t="shared" si="4"/>
        <v>19</v>
      </c>
      <c r="AA12" s="40">
        <f t="shared" si="5"/>
        <v>12</v>
      </c>
    </row>
    <row r="13" spans="2:39" ht="14.4" customHeight="1" x14ac:dyDescent="0.3">
      <c r="B13" s="10" t="s">
        <v>41</v>
      </c>
      <c r="C13" s="10" t="s">
        <v>47</v>
      </c>
      <c r="D13" s="12">
        <v>2</v>
      </c>
      <c r="E13" s="11">
        <v>2</v>
      </c>
      <c r="F13" s="37">
        <v>6</v>
      </c>
      <c r="G13" s="12">
        <v>1.5</v>
      </c>
      <c r="H13" s="11">
        <v>2</v>
      </c>
      <c r="I13" s="37">
        <v>7</v>
      </c>
      <c r="J13" s="12">
        <v>1</v>
      </c>
      <c r="K13" s="11">
        <v>1</v>
      </c>
      <c r="L13" s="37">
        <v>6</v>
      </c>
      <c r="M13" s="12">
        <v>3</v>
      </c>
      <c r="N13" s="11">
        <v>1</v>
      </c>
      <c r="O13" s="37">
        <v>7</v>
      </c>
      <c r="P13" s="12">
        <v>1</v>
      </c>
      <c r="Q13" s="11">
        <v>1</v>
      </c>
      <c r="R13" s="37">
        <v>6</v>
      </c>
      <c r="S13" s="12">
        <v>2</v>
      </c>
      <c r="T13" s="11">
        <v>1</v>
      </c>
      <c r="U13" s="38">
        <v>5</v>
      </c>
      <c r="V13" s="6">
        <f t="shared" si="0"/>
        <v>37</v>
      </c>
      <c r="W13" s="7">
        <f t="shared" si="1"/>
        <v>1.75</v>
      </c>
      <c r="X13" s="7">
        <f t="shared" si="2"/>
        <v>1.3333333333333333</v>
      </c>
      <c r="Y13" s="8">
        <f t="shared" si="3"/>
        <v>1.7702702702702702</v>
      </c>
      <c r="Z13" s="39">
        <f t="shared" si="4"/>
        <v>10.5</v>
      </c>
      <c r="AA13" s="40">
        <f t="shared" si="5"/>
        <v>8</v>
      </c>
    </row>
    <row r="14" spans="2:39" ht="14.4" customHeight="1" x14ac:dyDescent="0.3">
      <c r="B14" s="10" t="s">
        <v>48</v>
      </c>
      <c r="C14" s="10" t="s">
        <v>47</v>
      </c>
      <c r="D14" s="12">
        <v>2</v>
      </c>
      <c r="E14" s="11">
        <v>1</v>
      </c>
      <c r="F14" s="37">
        <v>6</v>
      </c>
      <c r="G14" s="12">
        <v>3</v>
      </c>
      <c r="H14" s="11">
        <v>1</v>
      </c>
      <c r="I14" s="37">
        <v>7</v>
      </c>
      <c r="J14" s="12">
        <v>1</v>
      </c>
      <c r="K14" s="11">
        <v>3</v>
      </c>
      <c r="L14" s="37">
        <v>6</v>
      </c>
      <c r="M14" s="12">
        <v>1</v>
      </c>
      <c r="N14" s="11">
        <v>3</v>
      </c>
      <c r="O14" s="37">
        <v>7</v>
      </c>
      <c r="P14" s="12">
        <v>3</v>
      </c>
      <c r="Q14" s="11">
        <v>3</v>
      </c>
      <c r="R14" s="37">
        <v>6</v>
      </c>
      <c r="S14" s="12">
        <v>2</v>
      </c>
      <c r="T14" s="11">
        <v>1</v>
      </c>
      <c r="U14" s="38">
        <v>5</v>
      </c>
      <c r="V14" s="6">
        <f t="shared" si="0"/>
        <v>37</v>
      </c>
      <c r="W14" s="7">
        <f t="shared" si="1"/>
        <v>2</v>
      </c>
      <c r="X14" s="7">
        <f t="shared" si="2"/>
        <v>2</v>
      </c>
      <c r="Y14" s="8">
        <f t="shared" si="3"/>
        <v>2</v>
      </c>
      <c r="Z14" s="39">
        <f t="shared" si="4"/>
        <v>12</v>
      </c>
      <c r="AA14" s="40">
        <f t="shared" si="5"/>
        <v>12</v>
      </c>
    </row>
    <row r="15" spans="2:39" ht="14.4" customHeight="1" x14ac:dyDescent="0.3">
      <c r="B15" s="10" t="s">
        <v>49</v>
      </c>
      <c r="C15" s="10" t="s">
        <v>50</v>
      </c>
      <c r="D15" s="12">
        <v>1</v>
      </c>
      <c r="E15" s="11">
        <v>2</v>
      </c>
      <c r="F15" s="37">
        <v>6</v>
      </c>
      <c r="G15" s="12">
        <v>2</v>
      </c>
      <c r="H15" s="11">
        <v>2</v>
      </c>
      <c r="I15" s="37">
        <v>7</v>
      </c>
      <c r="J15" s="12">
        <v>3</v>
      </c>
      <c r="K15" s="11">
        <v>1</v>
      </c>
      <c r="L15" s="37">
        <v>6</v>
      </c>
      <c r="M15" s="12">
        <v>1</v>
      </c>
      <c r="N15" s="11">
        <v>2</v>
      </c>
      <c r="O15" s="37">
        <v>7</v>
      </c>
      <c r="P15" s="12">
        <v>2</v>
      </c>
      <c r="Q15" s="11">
        <v>2</v>
      </c>
      <c r="R15" s="37">
        <v>6</v>
      </c>
      <c r="S15" s="12">
        <v>1</v>
      </c>
      <c r="T15" s="11">
        <v>1</v>
      </c>
      <c r="U15" s="38">
        <v>5</v>
      </c>
      <c r="V15" s="6">
        <f t="shared" si="0"/>
        <v>37</v>
      </c>
      <c r="W15" s="7">
        <f t="shared" si="1"/>
        <v>1.6666666666666667</v>
      </c>
      <c r="X15" s="7">
        <f t="shared" si="2"/>
        <v>1.6666666666666667</v>
      </c>
      <c r="Y15" s="8">
        <f t="shared" si="3"/>
        <v>1.6756756756756757</v>
      </c>
      <c r="Z15" s="39">
        <f t="shared" si="4"/>
        <v>10</v>
      </c>
      <c r="AA15" s="40">
        <f t="shared" si="5"/>
        <v>10</v>
      </c>
    </row>
    <row r="16" spans="2:39" ht="14.4" customHeight="1" x14ac:dyDescent="0.3">
      <c r="B16" s="10" t="s">
        <v>51</v>
      </c>
      <c r="C16" s="10" t="s">
        <v>52</v>
      </c>
      <c r="D16" s="12">
        <v>2</v>
      </c>
      <c r="E16" s="11">
        <v>3</v>
      </c>
      <c r="F16" s="37">
        <v>6</v>
      </c>
      <c r="G16" s="12">
        <v>2</v>
      </c>
      <c r="H16" s="11">
        <v>2</v>
      </c>
      <c r="I16" s="37">
        <v>7</v>
      </c>
      <c r="J16" s="12">
        <v>4</v>
      </c>
      <c r="K16" s="11">
        <v>3</v>
      </c>
      <c r="L16" s="37">
        <v>6</v>
      </c>
      <c r="M16" s="12">
        <v>4</v>
      </c>
      <c r="N16" s="11">
        <v>2</v>
      </c>
      <c r="O16" s="37">
        <v>7</v>
      </c>
      <c r="P16" s="12">
        <v>2</v>
      </c>
      <c r="Q16" s="11">
        <v>1</v>
      </c>
      <c r="R16" s="37">
        <v>6</v>
      </c>
      <c r="S16" s="12">
        <v>3.5</v>
      </c>
      <c r="T16" s="11">
        <v>3</v>
      </c>
      <c r="U16" s="38">
        <v>5</v>
      </c>
      <c r="V16" s="6">
        <f t="shared" si="0"/>
        <v>24</v>
      </c>
      <c r="W16" s="7">
        <f t="shared" si="1"/>
        <v>2.9166666666666665</v>
      </c>
      <c r="X16" s="7">
        <f t="shared" si="2"/>
        <v>2.3333333333333335</v>
      </c>
      <c r="Y16" s="8">
        <f t="shared" si="3"/>
        <v>2.9054054054054053</v>
      </c>
      <c r="Z16" s="39">
        <f t="shared" si="4"/>
        <v>17.5</v>
      </c>
      <c r="AA16" s="40">
        <f t="shared" si="5"/>
        <v>14</v>
      </c>
    </row>
    <row r="17" spans="2:32" ht="14.4" customHeight="1" x14ac:dyDescent="0.3">
      <c r="B17" s="10" t="s">
        <v>53</v>
      </c>
      <c r="C17" s="10" t="s">
        <v>54</v>
      </c>
      <c r="D17" s="12">
        <v>2</v>
      </c>
      <c r="E17" s="11">
        <v>2</v>
      </c>
      <c r="F17" s="37">
        <v>6</v>
      </c>
      <c r="G17" s="12">
        <v>2</v>
      </c>
      <c r="H17" s="11">
        <v>3</v>
      </c>
      <c r="I17" s="37">
        <v>7</v>
      </c>
      <c r="J17" s="12">
        <v>2</v>
      </c>
      <c r="K17" s="11">
        <v>2</v>
      </c>
      <c r="L17" s="37">
        <v>6</v>
      </c>
      <c r="M17" s="12">
        <v>4</v>
      </c>
      <c r="N17" s="11">
        <v>2</v>
      </c>
      <c r="O17" s="37">
        <v>7</v>
      </c>
      <c r="P17" s="12">
        <v>2</v>
      </c>
      <c r="Q17" s="11">
        <v>2</v>
      </c>
      <c r="R17" s="37">
        <v>6</v>
      </c>
      <c r="S17" s="12">
        <v>1</v>
      </c>
      <c r="T17" s="11">
        <v>3</v>
      </c>
      <c r="U17" s="38">
        <v>5</v>
      </c>
      <c r="V17" s="6">
        <f t="shared" si="0"/>
        <v>30</v>
      </c>
      <c r="W17" s="7">
        <f t="shared" si="1"/>
        <v>2.1666666666666665</v>
      </c>
      <c r="X17" s="7">
        <f t="shared" si="2"/>
        <v>2.3333333333333335</v>
      </c>
      <c r="Y17" s="8">
        <f t="shared" si="3"/>
        <v>2.2432432432432434</v>
      </c>
      <c r="Z17" s="39">
        <f t="shared" si="4"/>
        <v>13</v>
      </c>
      <c r="AA17" s="40">
        <f t="shared" si="5"/>
        <v>14</v>
      </c>
    </row>
    <row r="18" spans="2:32" ht="14.4" customHeight="1" x14ac:dyDescent="0.3">
      <c r="B18" s="10" t="s">
        <v>55</v>
      </c>
      <c r="C18" s="10" t="s">
        <v>56</v>
      </c>
      <c r="D18" s="12">
        <v>2</v>
      </c>
      <c r="E18" s="11">
        <v>1</v>
      </c>
      <c r="F18" s="37">
        <v>6</v>
      </c>
      <c r="G18" s="12">
        <v>1</v>
      </c>
      <c r="H18" s="11">
        <v>2</v>
      </c>
      <c r="I18" s="37">
        <v>7</v>
      </c>
      <c r="J18" s="12">
        <v>2</v>
      </c>
      <c r="K18" s="11">
        <v>1</v>
      </c>
      <c r="L18" s="37">
        <v>6</v>
      </c>
      <c r="M18" s="12">
        <v>1.5</v>
      </c>
      <c r="N18" s="11">
        <v>2</v>
      </c>
      <c r="O18" s="37">
        <v>7</v>
      </c>
      <c r="P18" s="12">
        <v>4</v>
      </c>
      <c r="Q18" s="11">
        <v>2</v>
      </c>
      <c r="R18" s="37">
        <v>6</v>
      </c>
      <c r="S18" s="12">
        <v>3</v>
      </c>
      <c r="T18" s="11">
        <v>2</v>
      </c>
      <c r="U18" s="38">
        <v>5</v>
      </c>
      <c r="V18" s="6">
        <f t="shared" si="0"/>
        <v>31</v>
      </c>
      <c r="W18" s="7">
        <f t="shared" si="1"/>
        <v>2.25</v>
      </c>
      <c r="X18" s="7">
        <f t="shared" si="2"/>
        <v>1.6666666666666667</v>
      </c>
      <c r="Y18" s="8">
        <f t="shared" si="3"/>
        <v>2.1756756756756759</v>
      </c>
      <c r="Z18" s="39">
        <f t="shared" si="4"/>
        <v>13.5</v>
      </c>
      <c r="AA18" s="40">
        <f t="shared" si="5"/>
        <v>10</v>
      </c>
    </row>
    <row r="19" spans="2:32" ht="14.4" customHeight="1" x14ac:dyDescent="0.3">
      <c r="B19" s="10" t="s">
        <v>57</v>
      </c>
      <c r="C19" s="10" t="s">
        <v>58</v>
      </c>
      <c r="D19" s="12">
        <v>3</v>
      </c>
      <c r="E19" s="11">
        <v>1</v>
      </c>
      <c r="F19" s="37">
        <v>6</v>
      </c>
      <c r="G19" s="12">
        <v>2</v>
      </c>
      <c r="H19" s="11">
        <v>3</v>
      </c>
      <c r="I19" s="37">
        <v>7</v>
      </c>
      <c r="J19" s="12">
        <v>4</v>
      </c>
      <c r="K19" s="11">
        <v>1</v>
      </c>
      <c r="L19" s="37">
        <v>6</v>
      </c>
      <c r="M19" s="12">
        <v>1.5</v>
      </c>
      <c r="N19" s="11">
        <v>1</v>
      </c>
      <c r="O19" s="37">
        <v>7</v>
      </c>
      <c r="P19" s="12">
        <v>4</v>
      </c>
      <c r="Q19" s="11">
        <v>1</v>
      </c>
      <c r="R19" s="37">
        <v>6</v>
      </c>
      <c r="S19" s="12">
        <v>3</v>
      </c>
      <c r="T19" s="11">
        <v>2</v>
      </c>
      <c r="U19" s="38">
        <v>5</v>
      </c>
      <c r="V19" s="6">
        <f t="shared" si="0"/>
        <v>25</v>
      </c>
      <c r="W19" s="7">
        <f t="shared" si="1"/>
        <v>2.9166666666666665</v>
      </c>
      <c r="X19" s="7">
        <f t="shared" si="2"/>
        <v>1.5</v>
      </c>
      <c r="Y19" s="8">
        <f t="shared" si="3"/>
        <v>2.8513513513513513</v>
      </c>
      <c r="Z19" s="39">
        <f t="shared" si="4"/>
        <v>17.5</v>
      </c>
      <c r="AA19" s="40">
        <f t="shared" si="5"/>
        <v>9</v>
      </c>
    </row>
    <row r="20" spans="2:32" ht="14.4" customHeight="1" x14ac:dyDescent="0.3">
      <c r="B20" s="10" t="s">
        <v>59</v>
      </c>
      <c r="C20" s="10" t="s">
        <v>58</v>
      </c>
      <c r="D20" s="12">
        <v>3</v>
      </c>
      <c r="E20" s="11">
        <v>1</v>
      </c>
      <c r="F20" s="37">
        <v>6</v>
      </c>
      <c r="G20" s="12">
        <v>4</v>
      </c>
      <c r="H20" s="11">
        <v>2</v>
      </c>
      <c r="I20" s="37">
        <v>7</v>
      </c>
      <c r="J20" s="12">
        <v>4</v>
      </c>
      <c r="K20" s="11">
        <v>4</v>
      </c>
      <c r="L20" s="37">
        <v>6</v>
      </c>
      <c r="M20" s="12">
        <v>1</v>
      </c>
      <c r="N20" s="11">
        <v>1</v>
      </c>
      <c r="O20" s="37">
        <v>7</v>
      </c>
      <c r="P20" s="12">
        <v>1.5</v>
      </c>
      <c r="Q20" s="11">
        <v>1</v>
      </c>
      <c r="R20" s="37">
        <v>6</v>
      </c>
      <c r="S20" s="12">
        <v>4</v>
      </c>
      <c r="T20" s="11">
        <v>2</v>
      </c>
      <c r="U20" s="38">
        <v>5</v>
      </c>
      <c r="V20" s="6">
        <f t="shared" si="0"/>
        <v>19</v>
      </c>
      <c r="W20" s="7">
        <f t="shared" si="1"/>
        <v>2.9166666666666665</v>
      </c>
      <c r="X20" s="7">
        <f t="shared" si="2"/>
        <v>1.8333333333333333</v>
      </c>
      <c r="Y20" s="8">
        <f t="shared" si="3"/>
        <v>2.8648648648648649</v>
      </c>
      <c r="Z20" s="39">
        <f t="shared" si="4"/>
        <v>17.5</v>
      </c>
      <c r="AA20" s="40">
        <f t="shared" si="5"/>
        <v>11</v>
      </c>
    </row>
    <row r="21" spans="2:32" ht="14.4" customHeight="1" x14ac:dyDescent="0.3">
      <c r="B21" s="10" t="s">
        <v>60</v>
      </c>
      <c r="C21" s="10" t="s">
        <v>61</v>
      </c>
      <c r="D21" s="12">
        <v>3</v>
      </c>
      <c r="E21" s="11">
        <v>1</v>
      </c>
      <c r="F21" s="37">
        <v>6</v>
      </c>
      <c r="G21" s="12">
        <v>2</v>
      </c>
      <c r="H21" s="11">
        <v>3</v>
      </c>
      <c r="I21" s="37">
        <v>7</v>
      </c>
      <c r="J21" s="12">
        <v>1</v>
      </c>
      <c r="K21" s="11">
        <v>2</v>
      </c>
      <c r="L21" s="37">
        <v>6</v>
      </c>
      <c r="M21" s="12">
        <v>1.5</v>
      </c>
      <c r="N21" s="11">
        <v>3</v>
      </c>
      <c r="O21" s="37">
        <v>7</v>
      </c>
      <c r="P21" s="12">
        <v>3</v>
      </c>
      <c r="Q21" s="11">
        <v>2</v>
      </c>
      <c r="R21" s="37">
        <v>6</v>
      </c>
      <c r="S21" s="12">
        <v>1</v>
      </c>
      <c r="T21" s="11">
        <v>3</v>
      </c>
      <c r="U21" s="38">
        <v>5</v>
      </c>
      <c r="V21" s="6">
        <f t="shared" si="0"/>
        <v>37</v>
      </c>
      <c r="W21" s="7">
        <f t="shared" si="1"/>
        <v>1.9166666666666667</v>
      </c>
      <c r="X21" s="7">
        <f t="shared" si="2"/>
        <v>2.3333333333333335</v>
      </c>
      <c r="Y21" s="8">
        <f t="shared" si="3"/>
        <v>1.9324324324324325</v>
      </c>
      <c r="Z21" s="39">
        <f t="shared" si="4"/>
        <v>11.5</v>
      </c>
      <c r="AA21" s="40">
        <f t="shared" si="5"/>
        <v>14</v>
      </c>
    </row>
    <row r="22" spans="2:32" ht="14.4" customHeight="1" x14ac:dyDescent="0.3">
      <c r="B22" s="10" t="s">
        <v>62</v>
      </c>
      <c r="C22" s="10" t="s">
        <v>63</v>
      </c>
      <c r="D22" s="12">
        <v>1</v>
      </c>
      <c r="E22" s="11">
        <v>3</v>
      </c>
      <c r="F22" s="37">
        <v>6</v>
      </c>
      <c r="G22" s="12">
        <v>2</v>
      </c>
      <c r="H22" s="11">
        <v>1</v>
      </c>
      <c r="I22" s="37">
        <v>7</v>
      </c>
      <c r="J22" s="12">
        <v>2</v>
      </c>
      <c r="K22" s="11">
        <v>2</v>
      </c>
      <c r="L22" s="37">
        <v>6</v>
      </c>
      <c r="M22" s="12">
        <v>4</v>
      </c>
      <c r="N22" s="11">
        <v>1</v>
      </c>
      <c r="O22" s="37">
        <v>7</v>
      </c>
      <c r="P22" s="12">
        <v>1</v>
      </c>
      <c r="Q22" s="11">
        <v>2</v>
      </c>
      <c r="R22" s="37">
        <v>6</v>
      </c>
      <c r="S22" s="12">
        <v>1</v>
      </c>
      <c r="T22" s="11">
        <v>1</v>
      </c>
      <c r="U22" s="38">
        <v>5</v>
      </c>
      <c r="V22" s="6">
        <f t="shared" si="0"/>
        <v>30</v>
      </c>
      <c r="W22" s="7">
        <f t="shared" si="1"/>
        <v>1.8333333333333333</v>
      </c>
      <c r="X22" s="7">
        <f t="shared" si="2"/>
        <v>1.6666666666666667</v>
      </c>
      <c r="Y22" s="8">
        <f t="shared" si="3"/>
        <v>1.9189189189189189</v>
      </c>
      <c r="Z22" s="39">
        <f t="shared" si="4"/>
        <v>11</v>
      </c>
      <c r="AA22" s="40">
        <f t="shared" si="5"/>
        <v>10</v>
      </c>
    </row>
    <row r="23" spans="2:32" ht="14.4" customHeight="1" x14ac:dyDescent="0.3">
      <c r="B23" s="10" t="s">
        <v>64</v>
      </c>
      <c r="C23" s="10" t="s">
        <v>65</v>
      </c>
      <c r="D23" s="12">
        <v>2</v>
      </c>
      <c r="E23" s="11">
        <v>1</v>
      </c>
      <c r="F23" s="37">
        <v>6</v>
      </c>
      <c r="G23" s="12">
        <v>4</v>
      </c>
      <c r="H23" s="11">
        <v>2</v>
      </c>
      <c r="I23" s="37">
        <v>7</v>
      </c>
      <c r="J23" s="12">
        <v>1</v>
      </c>
      <c r="K23" s="11">
        <v>1</v>
      </c>
      <c r="L23" s="37">
        <v>6</v>
      </c>
      <c r="M23" s="12">
        <v>2</v>
      </c>
      <c r="N23" s="11">
        <v>1</v>
      </c>
      <c r="O23" s="37">
        <v>7</v>
      </c>
      <c r="P23" s="12">
        <v>4</v>
      </c>
      <c r="Q23" s="11">
        <v>1</v>
      </c>
      <c r="R23" s="37">
        <v>6</v>
      </c>
      <c r="S23" s="12">
        <v>4</v>
      </c>
      <c r="T23" s="11">
        <v>1</v>
      </c>
      <c r="U23" s="38">
        <v>5</v>
      </c>
      <c r="V23" s="6">
        <f t="shared" si="0"/>
        <v>19</v>
      </c>
      <c r="W23" s="7">
        <f t="shared" si="1"/>
        <v>2.8333333333333335</v>
      </c>
      <c r="X23" s="7">
        <f t="shared" si="2"/>
        <v>1.1666666666666667</v>
      </c>
      <c r="Y23" s="8">
        <f t="shared" si="3"/>
        <v>2.810810810810811</v>
      </c>
      <c r="Z23" s="39">
        <f t="shared" si="4"/>
        <v>17</v>
      </c>
      <c r="AA23" s="40">
        <f t="shared" si="5"/>
        <v>7</v>
      </c>
    </row>
    <row r="24" spans="2:32" ht="15" customHeight="1" thickBot="1" x14ac:dyDescent="0.35">
      <c r="B24" s="46"/>
    </row>
    <row r="25" spans="2:32" ht="15" customHeight="1" thickBot="1" x14ac:dyDescent="0.35">
      <c r="B25" s="20" t="s">
        <v>66</v>
      </c>
      <c r="C25" s="21" t="s">
        <v>4</v>
      </c>
      <c r="D25" s="21" t="s">
        <v>5</v>
      </c>
      <c r="E25" s="21" t="s">
        <v>6</v>
      </c>
      <c r="F25" s="21" t="s">
        <v>7</v>
      </c>
      <c r="G25" s="21" t="s">
        <v>67</v>
      </c>
      <c r="H25" s="79" t="s">
        <v>9</v>
      </c>
      <c r="I25" s="80"/>
    </row>
    <row r="26" spans="2:32" ht="15" customHeight="1" thickBot="1" x14ac:dyDescent="0.35">
      <c r="B26" s="23" t="s">
        <v>11</v>
      </c>
      <c r="C26" s="22">
        <f>AVERAGE(D6:D23)</f>
        <v>2.0833333333333335</v>
      </c>
      <c r="D26" s="19">
        <f>AVERAGE(G6:G23)</f>
        <v>2.1944444444444446</v>
      </c>
      <c r="E26" s="19">
        <f>AVERAGE(J6:J23)</f>
        <v>2.3888888888888888</v>
      </c>
      <c r="F26" s="19">
        <f>AVERAGE(M6:M23)</f>
        <v>2.5277777777777777</v>
      </c>
      <c r="G26" s="19">
        <f>AVERAGE(P6:P23)</f>
        <v>2.6944444444444446</v>
      </c>
      <c r="H26" s="88">
        <f>AVERAGE(S6:S23)</f>
        <v>2.3611111111111112</v>
      </c>
      <c r="I26" s="76"/>
    </row>
    <row r="27" spans="2:32" ht="15" customHeight="1" thickBot="1" x14ac:dyDescent="0.35">
      <c r="B27" s="23" t="s">
        <v>12</v>
      </c>
      <c r="C27" s="24">
        <f>AVERAGE(E6:E23)</f>
        <v>1.7777777777777777</v>
      </c>
      <c r="D27" s="18">
        <f>AVERAGE(H6:H23)</f>
        <v>1.9444444444444444</v>
      </c>
      <c r="E27" s="18">
        <f>AVERAGE(K6:K23)</f>
        <v>1.9444444444444444</v>
      </c>
      <c r="F27" s="18">
        <f>AVERAGE(N6:N23)</f>
        <v>1.9444444444444444</v>
      </c>
      <c r="G27" s="18">
        <f>AVERAGE(Q6:Q23)</f>
        <v>1.7777777777777777</v>
      </c>
      <c r="H27" s="88">
        <f>AVERAGE(T6:T23)</f>
        <v>1.9444444444444444</v>
      </c>
      <c r="I27" s="76"/>
    </row>
    <row r="28" spans="2:32" ht="15" customHeight="1" thickBot="1" x14ac:dyDescent="0.35"/>
    <row r="29" spans="2:32" ht="15" customHeight="1" thickBot="1" x14ac:dyDescent="0.35">
      <c r="B29" s="53" t="s">
        <v>68</v>
      </c>
      <c r="C29" s="52">
        <f>AVERAGE(Y6:Y23)</f>
        <v>2.3746246246246252</v>
      </c>
    </row>
    <row r="30" spans="2:32" x14ac:dyDescent="0.3">
      <c r="B30" s="46"/>
    </row>
    <row r="31" spans="2:32" x14ac:dyDescent="0.3">
      <c r="H31" s="87" t="s">
        <v>69</v>
      </c>
      <c r="I31" s="74"/>
      <c r="J31" s="74"/>
      <c r="K31" s="74"/>
      <c r="L31" s="74"/>
      <c r="M31" s="74"/>
      <c r="N31" s="74"/>
      <c r="O31" s="74"/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4"/>
      <c r="AA31" s="74"/>
      <c r="AB31" s="74"/>
      <c r="AC31" s="74"/>
      <c r="AD31" s="74"/>
      <c r="AE31" s="74"/>
      <c r="AF31" s="74"/>
    </row>
    <row r="32" spans="2:32" ht="15" customHeight="1" thickBot="1" x14ac:dyDescent="0.35">
      <c r="B32" s="14" t="s">
        <v>70</v>
      </c>
      <c r="C32" s="14" t="s">
        <v>13</v>
      </c>
      <c r="D32" s="14" t="s">
        <v>11</v>
      </c>
      <c r="E32" s="14" t="s">
        <v>15</v>
      </c>
    </row>
    <row r="33" spans="2:5" x14ac:dyDescent="0.3">
      <c r="B33" s="28" t="str">
        <f t="shared" ref="B33:B50" si="6">C6&amp;" "&amp;B6</f>
        <v>Koncova Monika</v>
      </c>
      <c r="C33" s="27">
        <f t="shared" ref="C33:C50" si="7">Y6</f>
        <v>2.5135135135135136</v>
      </c>
      <c r="D33" s="25">
        <f t="shared" ref="D33:D50" si="8">W6</f>
        <v>2.5</v>
      </c>
      <c r="E33" s="26">
        <f t="shared" ref="E33:E50" si="9">SUM(E6,H6,K6,N6,Q6,T6)</f>
        <v>12</v>
      </c>
    </row>
    <row r="34" spans="2:5" x14ac:dyDescent="0.3">
      <c r="B34" s="29" t="str">
        <f t="shared" si="6"/>
        <v>Kovac Emanuel</v>
      </c>
      <c r="C34" s="27">
        <f t="shared" si="7"/>
        <v>2.4054054054054053</v>
      </c>
      <c r="D34" s="25">
        <f t="shared" si="8"/>
        <v>2.5</v>
      </c>
      <c r="E34" s="26">
        <f t="shared" si="9"/>
        <v>13</v>
      </c>
    </row>
    <row r="35" spans="2:5" x14ac:dyDescent="0.3">
      <c r="B35" s="29" t="str">
        <f t="shared" si="6"/>
        <v>Kovac Marek</v>
      </c>
      <c r="C35" s="27">
        <f t="shared" si="7"/>
        <v>2.1486486486486487</v>
      </c>
      <c r="D35" s="25">
        <f t="shared" si="8"/>
        <v>2.0833333333333335</v>
      </c>
      <c r="E35" s="26">
        <f t="shared" si="9"/>
        <v>12</v>
      </c>
    </row>
    <row r="36" spans="2:5" x14ac:dyDescent="0.3">
      <c r="B36" s="29" t="str">
        <f t="shared" si="6"/>
        <v>Kovacova Denisa</v>
      </c>
      <c r="C36" s="27">
        <f t="shared" si="7"/>
        <v>2.3243243243243241</v>
      </c>
      <c r="D36" s="25">
        <f t="shared" si="8"/>
        <v>2.25</v>
      </c>
      <c r="E36" s="26">
        <f t="shared" si="9"/>
        <v>14</v>
      </c>
    </row>
    <row r="37" spans="2:5" x14ac:dyDescent="0.3">
      <c r="B37" s="29" t="str">
        <f t="shared" si="6"/>
        <v>Liso Anton</v>
      </c>
      <c r="C37" s="27">
        <f t="shared" si="7"/>
        <v>2.6216216216216215</v>
      </c>
      <c r="D37" s="25">
        <f t="shared" si="8"/>
        <v>2.6666666666666665</v>
      </c>
      <c r="E37" s="26">
        <f t="shared" si="9"/>
        <v>11</v>
      </c>
    </row>
    <row r="38" spans="2:5" x14ac:dyDescent="0.3">
      <c r="B38" s="29" t="str">
        <f t="shared" si="6"/>
        <v>Mlynarova kristina</v>
      </c>
      <c r="C38" s="27">
        <f t="shared" si="7"/>
        <v>2.4459459459459461</v>
      </c>
      <c r="D38" s="25">
        <f t="shared" si="8"/>
        <v>2.4166666666666665</v>
      </c>
      <c r="E38" s="26">
        <f t="shared" si="9"/>
        <v>11</v>
      </c>
    </row>
    <row r="39" spans="2:5" x14ac:dyDescent="0.3">
      <c r="B39" s="29" t="str">
        <f t="shared" si="6"/>
        <v>Novotna jana</v>
      </c>
      <c r="C39" s="27">
        <f t="shared" si="7"/>
        <v>3.1351351351351351</v>
      </c>
      <c r="D39" s="25">
        <f t="shared" si="8"/>
        <v>3.1666666666666665</v>
      </c>
      <c r="E39" s="26">
        <f t="shared" si="9"/>
        <v>12</v>
      </c>
    </row>
    <row r="40" spans="2:5" x14ac:dyDescent="0.3">
      <c r="B40" s="29" t="str">
        <f t="shared" si="6"/>
        <v>Novy Anton</v>
      </c>
      <c r="C40" s="27">
        <f t="shared" si="7"/>
        <v>1.7702702702702702</v>
      </c>
      <c r="D40" s="25">
        <f t="shared" si="8"/>
        <v>1.75</v>
      </c>
      <c r="E40" s="26">
        <f t="shared" si="9"/>
        <v>8</v>
      </c>
    </row>
    <row r="41" spans="2:5" x14ac:dyDescent="0.3">
      <c r="B41" s="29" t="str">
        <f t="shared" si="6"/>
        <v>Novy Miro</v>
      </c>
      <c r="C41" s="27">
        <f t="shared" si="7"/>
        <v>2</v>
      </c>
      <c r="D41" s="25">
        <f t="shared" si="8"/>
        <v>2</v>
      </c>
      <c r="E41" s="26">
        <f t="shared" si="9"/>
        <v>12</v>
      </c>
    </row>
    <row r="42" spans="2:5" x14ac:dyDescent="0.3">
      <c r="B42" s="29" t="str">
        <f t="shared" si="6"/>
        <v>Papulakova Vanesa</v>
      </c>
      <c r="C42" s="27">
        <f t="shared" si="7"/>
        <v>1.6756756756756757</v>
      </c>
      <c r="D42" s="25">
        <f t="shared" si="8"/>
        <v>1.6666666666666667</v>
      </c>
      <c r="E42" s="26">
        <f t="shared" si="9"/>
        <v>10</v>
      </c>
    </row>
    <row r="43" spans="2:5" x14ac:dyDescent="0.3">
      <c r="B43" s="29" t="str">
        <f t="shared" si="6"/>
        <v>Sisovsky Rasto</v>
      </c>
      <c r="C43" s="27">
        <f t="shared" si="7"/>
        <v>2.9054054054054053</v>
      </c>
      <c r="D43" s="25">
        <f t="shared" si="8"/>
        <v>2.9166666666666665</v>
      </c>
      <c r="E43" s="26">
        <f t="shared" si="9"/>
        <v>14</v>
      </c>
    </row>
    <row r="44" spans="2:5" x14ac:dyDescent="0.3">
      <c r="B44" s="29" t="str">
        <f t="shared" si="6"/>
        <v>Smutna Paula</v>
      </c>
      <c r="C44" s="27">
        <f t="shared" si="7"/>
        <v>2.2432432432432434</v>
      </c>
      <c r="D44" s="25">
        <f t="shared" si="8"/>
        <v>2.1666666666666665</v>
      </c>
      <c r="E44" s="26">
        <f t="shared" si="9"/>
        <v>14</v>
      </c>
    </row>
    <row r="45" spans="2:5" x14ac:dyDescent="0.3">
      <c r="B45" s="29" t="str">
        <f t="shared" si="6"/>
        <v>Smutny Marian</v>
      </c>
      <c r="C45" s="27">
        <f t="shared" si="7"/>
        <v>2.1756756756756759</v>
      </c>
      <c r="D45" s="25">
        <f t="shared" si="8"/>
        <v>2.25</v>
      </c>
      <c r="E45" s="26">
        <f t="shared" si="9"/>
        <v>10</v>
      </c>
    </row>
    <row r="46" spans="2:5" x14ac:dyDescent="0.3">
      <c r="B46" s="29" t="str">
        <f t="shared" si="6"/>
        <v>Vesely David</v>
      </c>
      <c r="C46" s="27">
        <f t="shared" si="7"/>
        <v>2.8513513513513513</v>
      </c>
      <c r="D46" s="25">
        <f t="shared" si="8"/>
        <v>2.9166666666666665</v>
      </c>
      <c r="E46" s="26">
        <f t="shared" si="9"/>
        <v>9</v>
      </c>
    </row>
    <row r="47" spans="2:5" x14ac:dyDescent="0.3">
      <c r="B47" s="29" t="str">
        <f t="shared" si="6"/>
        <v>Vesely Denis</v>
      </c>
      <c r="C47" s="27">
        <f t="shared" si="7"/>
        <v>2.8648648648648649</v>
      </c>
      <c r="D47" s="25">
        <f t="shared" si="8"/>
        <v>2.9166666666666665</v>
      </c>
      <c r="E47" s="26">
        <f t="shared" si="9"/>
        <v>11</v>
      </c>
    </row>
    <row r="48" spans="2:5" x14ac:dyDescent="0.3">
      <c r="B48" s="29" t="str">
        <f t="shared" si="6"/>
        <v>Ziacik Oliver</v>
      </c>
      <c r="C48" s="27">
        <f t="shared" si="7"/>
        <v>1.9324324324324325</v>
      </c>
      <c r="D48" s="25">
        <f t="shared" si="8"/>
        <v>1.9166666666666667</v>
      </c>
      <c r="E48" s="26">
        <f t="shared" si="9"/>
        <v>14</v>
      </c>
    </row>
    <row r="49" spans="2:24" x14ac:dyDescent="0.3">
      <c r="B49" s="29" t="str">
        <f t="shared" si="6"/>
        <v>Ziacikova Marianna</v>
      </c>
      <c r="C49" s="27">
        <f t="shared" si="7"/>
        <v>1.9189189189189189</v>
      </c>
      <c r="D49" s="25">
        <f t="shared" si="8"/>
        <v>1.8333333333333333</v>
      </c>
      <c r="E49" s="26">
        <f t="shared" si="9"/>
        <v>10</v>
      </c>
    </row>
    <row r="50" spans="2:24" ht="15" customHeight="1" thickBot="1" x14ac:dyDescent="0.35">
      <c r="B50" s="30" t="str">
        <f t="shared" si="6"/>
        <v>Zuffova Patricia</v>
      </c>
      <c r="C50" s="27">
        <f t="shared" si="7"/>
        <v>2.810810810810811</v>
      </c>
      <c r="D50" s="25">
        <f t="shared" si="8"/>
        <v>2.8333333333333335</v>
      </c>
      <c r="E50" s="26">
        <f t="shared" si="9"/>
        <v>7</v>
      </c>
    </row>
    <row r="64" spans="2:24" x14ac:dyDescent="0.3">
      <c r="X64" t="s">
        <v>71</v>
      </c>
    </row>
    <row r="74" spans="2:14" ht="15" customHeight="1" thickBot="1" x14ac:dyDescent="0.35"/>
    <row r="75" spans="2:14" ht="27" customHeight="1" thickBot="1" x14ac:dyDescent="0.35">
      <c r="B75" s="81" t="s">
        <v>72</v>
      </c>
      <c r="C75" s="82"/>
      <c r="D75" s="82"/>
      <c r="E75" s="83"/>
      <c r="F75" s="47"/>
      <c r="G75" s="47"/>
      <c r="H75" s="47"/>
      <c r="I75" s="47"/>
      <c r="J75" s="47"/>
      <c r="K75" s="47"/>
      <c r="L75" s="47"/>
      <c r="M75" s="47"/>
      <c r="N75" s="47"/>
    </row>
    <row r="76" spans="2:14" x14ac:dyDescent="0.3">
      <c r="B76" s="54" t="s">
        <v>73</v>
      </c>
      <c r="C76" s="54" t="s">
        <v>74</v>
      </c>
      <c r="D76" s="54" t="s">
        <v>75</v>
      </c>
      <c r="E76" s="54" t="s">
        <v>76</v>
      </c>
      <c r="F76" s="47"/>
      <c r="G76" s="47"/>
      <c r="H76" s="47"/>
      <c r="I76" s="47"/>
      <c r="J76" s="47"/>
      <c r="K76" s="47"/>
      <c r="L76" s="47"/>
      <c r="M76" s="47"/>
      <c r="N76" s="47"/>
    </row>
    <row r="77" spans="2:14" x14ac:dyDescent="0.3">
      <c r="B77" s="55" t="s">
        <v>77</v>
      </c>
      <c r="C77" s="55" t="s">
        <v>78</v>
      </c>
      <c r="D77" s="55" t="s">
        <v>10</v>
      </c>
      <c r="E77" s="56">
        <f>SUM(V6:V23)</f>
        <v>517</v>
      </c>
      <c r="F77" s="47"/>
      <c r="G77" s="47"/>
      <c r="H77" s="47"/>
      <c r="I77" s="47"/>
      <c r="J77" s="47"/>
      <c r="K77" s="47"/>
      <c r="L77" s="47"/>
      <c r="M77" s="47"/>
      <c r="N77" s="47"/>
    </row>
    <row r="78" spans="2:14" x14ac:dyDescent="0.3">
      <c r="B78" s="55" t="s">
        <v>79</v>
      </c>
      <c r="C78" s="55" t="s">
        <v>80</v>
      </c>
      <c r="D78" s="55" t="s">
        <v>81</v>
      </c>
      <c r="E78" s="57">
        <f>MIN(Y6:Y23)</f>
        <v>1.6756756756756757</v>
      </c>
      <c r="F78" s="47"/>
      <c r="G78" s="47"/>
      <c r="H78" s="47"/>
      <c r="I78" s="47"/>
      <c r="J78" s="47"/>
      <c r="K78" s="47"/>
      <c r="L78" s="47"/>
      <c r="M78" s="47"/>
      <c r="N78" s="47"/>
    </row>
    <row r="79" spans="2:14" x14ac:dyDescent="0.3">
      <c r="B79" s="55" t="s">
        <v>82</v>
      </c>
      <c r="C79" s="55" t="s">
        <v>83</v>
      </c>
      <c r="D79" s="55" t="s">
        <v>84</v>
      </c>
      <c r="E79" s="57">
        <f>AVERAGE(W6:W23)</f>
        <v>2.375</v>
      </c>
      <c r="F79" s="47"/>
      <c r="G79" s="47"/>
      <c r="H79" s="47"/>
      <c r="I79" s="47"/>
      <c r="J79" s="47"/>
      <c r="K79" s="47"/>
      <c r="L79" s="47"/>
      <c r="M79" s="47"/>
      <c r="N79" s="47"/>
    </row>
    <row r="80" spans="2:14" x14ac:dyDescent="0.3">
      <c r="F80" s="47"/>
      <c r="G80" s="47"/>
      <c r="H80" s="47"/>
      <c r="I80" s="47"/>
      <c r="J80" s="47"/>
      <c r="K80" s="47"/>
      <c r="L80" s="47"/>
      <c r="M80" s="47"/>
      <c r="N80" s="47"/>
    </row>
    <row r="81" spans="2:14" x14ac:dyDescent="0.3">
      <c r="F81" s="47"/>
      <c r="G81" s="47"/>
      <c r="H81" s="47"/>
      <c r="I81" s="47"/>
      <c r="J81" s="47"/>
      <c r="K81" s="47"/>
      <c r="L81" s="47"/>
      <c r="M81" s="47"/>
      <c r="N81" s="47"/>
    </row>
    <row r="82" spans="2:14" x14ac:dyDescent="0.3">
      <c r="B82" s="47"/>
      <c r="C82" s="47"/>
      <c r="D82" s="47"/>
      <c r="E82" s="47"/>
      <c r="F82" s="47"/>
      <c r="G82" s="47"/>
      <c r="H82" s="47"/>
      <c r="I82" s="47"/>
      <c r="J82" s="47"/>
      <c r="K82" s="47"/>
      <c r="L82" s="47"/>
      <c r="M82" s="47"/>
      <c r="N82" s="47"/>
    </row>
    <row r="83" spans="2:14" x14ac:dyDescent="0.3">
      <c r="B83" s="47"/>
      <c r="C83" s="47"/>
      <c r="D83" s="47"/>
      <c r="E83" s="47"/>
      <c r="F83" s="47"/>
      <c r="G83" s="47"/>
      <c r="H83" s="47"/>
      <c r="I83" s="47"/>
      <c r="J83" s="47"/>
      <c r="K83" s="47"/>
      <c r="L83" s="47"/>
      <c r="M83" s="47"/>
      <c r="N83" s="47"/>
    </row>
    <row r="84" spans="2:14" ht="27" customHeight="1" x14ac:dyDescent="0.3">
      <c r="B84" s="73" t="s">
        <v>85</v>
      </c>
      <c r="C84" s="74"/>
      <c r="D84" s="74"/>
      <c r="E84" s="74"/>
      <c r="F84" s="74"/>
      <c r="G84" s="74"/>
      <c r="H84" s="74"/>
      <c r="I84" s="74"/>
      <c r="J84" s="74"/>
      <c r="K84" s="74"/>
      <c r="L84" s="74"/>
      <c r="M84" s="74"/>
      <c r="N84" s="74"/>
    </row>
    <row r="85" spans="2:14" x14ac:dyDescent="0.3">
      <c r="B85" s="47"/>
      <c r="C85" s="47"/>
      <c r="D85" s="47"/>
      <c r="E85" s="47"/>
      <c r="F85" s="47"/>
      <c r="G85" s="47"/>
      <c r="H85" s="47"/>
      <c r="I85" s="47"/>
      <c r="J85" s="47"/>
      <c r="K85" s="47"/>
      <c r="L85" s="47"/>
      <c r="M85" s="47"/>
      <c r="N85" s="47"/>
    </row>
    <row r="86" spans="2:14" x14ac:dyDescent="0.3">
      <c r="B86" s="15" t="s">
        <v>86</v>
      </c>
      <c r="C86" s="58">
        <f>DATE(2026,10,1)</f>
        <v>46296</v>
      </c>
      <c r="D86" s="58">
        <f t="shared" ref="D86:N86" si="10">C86+1</f>
        <v>46297</v>
      </c>
      <c r="E86" s="58">
        <f t="shared" si="10"/>
        <v>46298</v>
      </c>
      <c r="F86" s="58">
        <f t="shared" si="10"/>
        <v>46299</v>
      </c>
      <c r="G86" s="58">
        <f t="shared" si="10"/>
        <v>46300</v>
      </c>
      <c r="H86" s="58">
        <f t="shared" si="10"/>
        <v>46301</v>
      </c>
      <c r="I86" s="58">
        <f t="shared" si="10"/>
        <v>46302</v>
      </c>
      <c r="J86" s="58">
        <f t="shared" si="10"/>
        <v>46303</v>
      </c>
      <c r="K86" s="58">
        <f t="shared" si="10"/>
        <v>46304</v>
      </c>
      <c r="L86" s="58">
        <f t="shared" si="10"/>
        <v>46305</v>
      </c>
      <c r="M86" s="58">
        <f t="shared" si="10"/>
        <v>46306</v>
      </c>
      <c r="N86" s="58">
        <f t="shared" si="10"/>
        <v>46307</v>
      </c>
    </row>
    <row r="87" spans="2:14" x14ac:dyDescent="0.3">
      <c r="B87" s="47"/>
      <c r="C87" s="47"/>
      <c r="D87" s="47"/>
      <c r="E87" s="47"/>
      <c r="F87" s="47"/>
      <c r="G87" s="47"/>
      <c r="H87" s="47"/>
      <c r="I87" s="47"/>
      <c r="J87" s="47"/>
      <c r="K87" s="47"/>
      <c r="L87" s="47"/>
      <c r="M87" s="47"/>
      <c r="N87" s="47"/>
    </row>
    <row r="88" spans="2:14" x14ac:dyDescent="0.3">
      <c r="B88" s="60" t="s">
        <v>87</v>
      </c>
      <c r="C88" s="60"/>
      <c r="D88" s="47"/>
      <c r="E88" s="47"/>
      <c r="F88" s="47"/>
      <c r="G88" s="47"/>
      <c r="H88" s="47"/>
      <c r="I88" s="47"/>
      <c r="J88" s="47"/>
      <c r="K88" s="47"/>
      <c r="L88" s="47"/>
      <c r="M88" s="47"/>
      <c r="N88" s="47"/>
    </row>
    <row r="89" spans="2:14" x14ac:dyDescent="0.3">
      <c r="B89" s="16" t="s">
        <v>88</v>
      </c>
      <c r="C89" s="59">
        <v>2</v>
      </c>
      <c r="D89" s="47"/>
      <c r="E89" s="47"/>
      <c r="F89" s="47"/>
      <c r="G89" s="47"/>
      <c r="H89" s="47"/>
      <c r="I89" s="47"/>
      <c r="J89" s="47"/>
      <c r="K89" s="47"/>
      <c r="L89" s="47"/>
      <c r="M89" s="47"/>
      <c r="N89" s="47"/>
    </row>
    <row r="90" spans="2:14" x14ac:dyDescent="0.3">
      <c r="B90" s="48" t="s">
        <v>89</v>
      </c>
      <c r="C90" s="48" t="s">
        <v>90</v>
      </c>
      <c r="D90" s="47"/>
      <c r="E90" s="47"/>
      <c r="F90" s="47"/>
      <c r="G90" s="47"/>
      <c r="H90" s="47"/>
      <c r="I90" s="47"/>
      <c r="J90" s="47"/>
      <c r="K90" s="47"/>
      <c r="L90" s="47"/>
      <c r="M90" s="47"/>
      <c r="N90" s="47"/>
    </row>
    <row r="91" spans="2:14" x14ac:dyDescent="0.3">
      <c r="B91" s="17">
        <v>1</v>
      </c>
      <c r="C91" s="17">
        <v>2</v>
      </c>
      <c r="D91" s="47"/>
      <c r="E91" s="47"/>
      <c r="F91" s="47"/>
      <c r="G91" s="47"/>
      <c r="H91" s="47"/>
      <c r="I91" s="47"/>
      <c r="J91" s="47"/>
      <c r="K91" s="47"/>
      <c r="L91" s="47"/>
      <c r="M91" s="47"/>
      <c r="N91" s="47"/>
    </row>
    <row r="92" spans="2:14" x14ac:dyDescent="0.3">
      <c r="B92" s="17">
        <f t="shared" ref="B92:B101" si="11">B91+1</f>
        <v>2</v>
      </c>
      <c r="C92" s="17">
        <f t="shared" ref="C92:C101" si="12">C91*$C$89</f>
        <v>4</v>
      </c>
      <c r="D92" s="47"/>
      <c r="E92" s="47"/>
      <c r="F92" s="47"/>
      <c r="G92" s="47"/>
      <c r="H92" s="47"/>
      <c r="I92" s="47"/>
      <c r="J92" s="47"/>
      <c r="K92" s="47"/>
      <c r="L92" s="47"/>
      <c r="M92" s="47"/>
      <c r="N92" s="47"/>
    </row>
    <row r="93" spans="2:14" x14ac:dyDescent="0.3">
      <c r="B93" s="17">
        <f t="shared" si="11"/>
        <v>3</v>
      </c>
      <c r="C93" s="17">
        <f t="shared" si="12"/>
        <v>8</v>
      </c>
      <c r="D93" s="47"/>
      <c r="E93" s="47"/>
      <c r="F93" s="47"/>
      <c r="G93" s="47"/>
      <c r="H93" s="47"/>
      <c r="I93" s="47"/>
      <c r="J93" s="47"/>
      <c r="K93" s="47"/>
      <c r="L93" s="47"/>
      <c r="M93" s="47"/>
      <c r="N93" s="47"/>
    </row>
    <row r="94" spans="2:14" x14ac:dyDescent="0.3">
      <c r="B94" s="17">
        <f t="shared" si="11"/>
        <v>4</v>
      </c>
      <c r="C94" s="17">
        <f t="shared" si="12"/>
        <v>16</v>
      </c>
      <c r="D94" s="47"/>
      <c r="E94" s="47"/>
      <c r="F94" s="47"/>
      <c r="G94" s="47"/>
      <c r="H94" s="47"/>
      <c r="I94" s="47"/>
      <c r="J94" s="47"/>
      <c r="K94" s="47"/>
      <c r="L94" s="47"/>
      <c r="M94" s="47"/>
      <c r="N94" s="47"/>
    </row>
    <row r="95" spans="2:14" x14ac:dyDescent="0.3">
      <c r="B95" s="17">
        <f t="shared" si="11"/>
        <v>5</v>
      </c>
      <c r="C95" s="17">
        <f t="shared" si="12"/>
        <v>32</v>
      </c>
      <c r="D95" s="47"/>
      <c r="E95" s="47"/>
      <c r="F95" s="47"/>
      <c r="G95" s="47"/>
      <c r="H95" s="47"/>
      <c r="I95" s="47"/>
      <c r="J95" s="47"/>
      <c r="K95" s="47"/>
      <c r="L95" s="47"/>
      <c r="M95" s="47"/>
      <c r="N95" s="47"/>
    </row>
    <row r="96" spans="2:14" x14ac:dyDescent="0.3">
      <c r="B96" s="17">
        <f t="shared" si="11"/>
        <v>6</v>
      </c>
      <c r="C96" s="17">
        <f t="shared" si="12"/>
        <v>64</v>
      </c>
      <c r="D96" s="47"/>
      <c r="E96" s="47"/>
      <c r="F96" s="47"/>
      <c r="G96" s="47"/>
      <c r="H96" s="47"/>
      <c r="I96" s="47"/>
      <c r="J96" s="47"/>
      <c r="K96" s="47"/>
      <c r="L96" s="47"/>
      <c r="M96" s="47"/>
      <c r="N96" s="47"/>
    </row>
    <row r="97" spans="2:17" x14ac:dyDescent="0.3">
      <c r="B97" s="17">
        <f t="shared" si="11"/>
        <v>7</v>
      </c>
      <c r="C97" s="17">
        <f t="shared" si="12"/>
        <v>128</v>
      </c>
      <c r="D97" s="47"/>
      <c r="E97" s="47"/>
      <c r="F97" s="47"/>
      <c r="G97" s="47"/>
      <c r="H97" s="47"/>
      <c r="I97" s="47"/>
      <c r="J97" s="47"/>
      <c r="K97" s="47"/>
      <c r="L97" s="47"/>
      <c r="M97" s="47"/>
      <c r="N97" s="47"/>
    </row>
    <row r="98" spans="2:17" x14ac:dyDescent="0.3">
      <c r="B98" s="17">
        <f t="shared" si="11"/>
        <v>8</v>
      </c>
      <c r="C98" s="17">
        <f t="shared" si="12"/>
        <v>256</v>
      </c>
      <c r="D98" s="47"/>
      <c r="E98" s="47"/>
      <c r="F98" s="47"/>
      <c r="G98" s="47"/>
      <c r="H98" s="47"/>
      <c r="I98" s="47"/>
      <c r="J98" s="47"/>
      <c r="K98" s="47"/>
      <c r="L98" s="47"/>
      <c r="M98" s="47"/>
      <c r="N98" s="47"/>
    </row>
    <row r="99" spans="2:17" x14ac:dyDescent="0.3">
      <c r="B99" s="17">
        <f t="shared" si="11"/>
        <v>9</v>
      </c>
      <c r="C99" s="17">
        <f t="shared" si="12"/>
        <v>512</v>
      </c>
      <c r="D99" s="47"/>
      <c r="E99" s="47"/>
      <c r="F99" s="47"/>
      <c r="G99" s="47"/>
      <c r="H99" s="47"/>
      <c r="I99" s="47"/>
      <c r="J99" s="47"/>
      <c r="K99" s="47"/>
      <c r="L99" s="47"/>
      <c r="M99" s="47"/>
      <c r="N99" s="47"/>
    </row>
    <row r="100" spans="2:17" x14ac:dyDescent="0.3">
      <c r="B100" s="17">
        <f t="shared" si="11"/>
        <v>10</v>
      </c>
      <c r="C100" s="17">
        <f t="shared" si="12"/>
        <v>1024</v>
      </c>
      <c r="D100" s="47"/>
      <c r="E100" s="47"/>
      <c r="F100" s="47"/>
      <c r="G100" s="47"/>
      <c r="H100" s="47"/>
      <c r="I100" s="47"/>
      <c r="J100" s="47"/>
      <c r="K100" s="47"/>
      <c r="L100" s="47"/>
      <c r="M100" s="47"/>
      <c r="N100" s="47"/>
    </row>
    <row r="101" spans="2:17" x14ac:dyDescent="0.3">
      <c r="B101" s="17">
        <f t="shared" si="11"/>
        <v>11</v>
      </c>
      <c r="C101" s="17">
        <f t="shared" si="12"/>
        <v>2048</v>
      </c>
      <c r="D101" s="47"/>
      <c r="E101" s="47"/>
      <c r="F101" s="47"/>
      <c r="G101" s="47"/>
      <c r="H101" s="47"/>
      <c r="I101" s="47"/>
      <c r="J101" s="47"/>
      <c r="K101" s="47"/>
      <c r="L101" s="47"/>
      <c r="M101" s="47"/>
      <c r="N101" s="47"/>
    </row>
    <row r="102" spans="2:17" x14ac:dyDescent="0.3">
      <c r="B102" s="46"/>
      <c r="C102" s="46"/>
      <c r="D102" s="47"/>
      <c r="E102" s="47"/>
      <c r="F102" s="47"/>
      <c r="G102" s="47"/>
      <c r="H102" s="47"/>
      <c r="I102" s="47"/>
      <c r="J102" s="47"/>
      <c r="K102" s="47"/>
      <c r="L102" s="47"/>
      <c r="M102" s="47"/>
      <c r="N102" s="47"/>
    </row>
    <row r="103" spans="2:17" x14ac:dyDescent="0.3">
      <c r="D103" s="47"/>
      <c r="E103" s="47"/>
      <c r="F103" s="47"/>
      <c r="G103" s="47"/>
      <c r="H103" s="47"/>
      <c r="I103" s="47"/>
      <c r="J103" s="47"/>
      <c r="K103" s="47"/>
      <c r="L103" s="47"/>
      <c r="M103" s="47"/>
      <c r="N103" s="47"/>
    </row>
    <row r="104" spans="2:17" x14ac:dyDescent="0.3">
      <c r="D104" s="47"/>
      <c r="E104" s="47"/>
      <c r="F104" s="47"/>
      <c r="G104" s="47"/>
      <c r="H104" s="47"/>
      <c r="I104" s="47"/>
      <c r="J104" s="47"/>
      <c r="K104" s="47"/>
      <c r="L104" s="47"/>
      <c r="M104" s="47"/>
      <c r="N104" s="47"/>
    </row>
    <row r="105" spans="2:17" x14ac:dyDescent="0.3">
      <c r="D105" s="47"/>
      <c r="E105" s="47"/>
      <c r="F105" s="47"/>
      <c r="G105" s="47"/>
      <c r="H105" s="47"/>
      <c r="I105" s="47"/>
      <c r="J105" s="47"/>
      <c r="K105" s="47"/>
      <c r="L105" s="47"/>
      <c r="M105" s="47"/>
      <c r="N105" s="47"/>
    </row>
    <row r="109" spans="2:17" x14ac:dyDescent="0.3">
      <c r="B109" s="85" t="s">
        <v>91</v>
      </c>
      <c r="C109" s="74"/>
      <c r="D109" s="74"/>
      <c r="E109" s="74"/>
      <c r="F109" s="74"/>
      <c r="G109" s="74"/>
      <c r="H109" s="74"/>
      <c r="I109" s="74"/>
      <c r="J109" s="74"/>
      <c r="K109" s="74"/>
      <c r="L109" s="74"/>
      <c r="M109" s="74"/>
      <c r="N109" s="74"/>
      <c r="O109" s="74"/>
      <c r="P109" s="74"/>
      <c r="Q109" s="74"/>
    </row>
    <row r="111" spans="2:17" x14ac:dyDescent="0.3">
      <c r="B111" s="49" t="s">
        <v>92</v>
      </c>
      <c r="C111" s="50">
        <f>200/PI()</f>
        <v>63.661977236758133</v>
      </c>
    </row>
    <row r="113" spans="1:17" ht="30" customHeight="1" x14ac:dyDescent="0.3">
      <c r="B113" s="61" t="s">
        <v>93</v>
      </c>
      <c r="C113" s="61" t="s">
        <v>94</v>
      </c>
      <c r="D113" s="61" t="s">
        <v>95</v>
      </c>
      <c r="E113" s="61" t="s">
        <v>96</v>
      </c>
      <c r="F113" s="61" t="s">
        <v>97</v>
      </c>
      <c r="G113" s="61" t="s">
        <v>98</v>
      </c>
      <c r="H113" s="61" t="s">
        <v>99</v>
      </c>
      <c r="I113" s="61" t="s">
        <v>100</v>
      </c>
      <c r="J113" s="61" t="s">
        <v>101</v>
      </c>
      <c r="K113" s="61" t="s">
        <v>102</v>
      </c>
      <c r="L113" s="61" t="s">
        <v>103</v>
      </c>
      <c r="M113" s="61" t="s">
        <v>104</v>
      </c>
      <c r="N113" s="75" t="s">
        <v>105</v>
      </c>
      <c r="O113" s="76"/>
      <c r="P113" s="66"/>
    </row>
    <row r="114" spans="1:17" x14ac:dyDescent="0.3">
      <c r="B114" s="62">
        <v>1</v>
      </c>
      <c r="C114" s="63">
        <v>30</v>
      </c>
      <c r="D114" s="63">
        <v>40</v>
      </c>
      <c r="E114" s="63">
        <v>50</v>
      </c>
      <c r="F114" s="64" t="str">
        <f>IF(AND(C114+D114&gt;E114,C114+E114&gt;D114,D114+E114&gt;C114),"ano","nie")</f>
        <v>ano</v>
      </c>
      <c r="G114" s="63">
        <f>IF(F114="ano",C114+D114+E114,"-")</f>
        <v>120</v>
      </c>
      <c r="H114" s="63">
        <f>IF(F114="ano",SQRT((C114+D114+E114)/2*((C114+D114+E114)/2-C114)*((C114+D114+E114)/2-D114)*((C114+D114+E114)/2-E114)),"nema riesenie")</f>
        <v>600</v>
      </c>
      <c r="I114" s="63">
        <f>IF(F114="ano",H114/(C114+D114+E114)/2,"-")</f>
        <v>2.5</v>
      </c>
      <c r="J114" s="63">
        <f>IF(F114="ano",C114*D114*E114/(4*H114),"-")</f>
        <v>25</v>
      </c>
      <c r="K114" s="65">
        <f>IF(F114="ano",2*ATAN(I114/((C114+D114+E114)/2-C114))*$C$111,"-")</f>
        <v>10.585870423835949</v>
      </c>
      <c r="L114" s="65">
        <f>IF(F114="ano",2*ATAN(I114/((C114+D114+E114)/2-D114))*$C$111,"-")</f>
        <v>15.833369664226216</v>
      </c>
      <c r="M114" s="65">
        <f>IF(F114="ano",2*ATAN(I114/((C114+D114+E114)/2-E114))*$C$111,"-")</f>
        <v>31.191652150947728</v>
      </c>
      <c r="N114" s="84">
        <f>IF(F114="ano",K114+L114+M114,"-")</f>
        <v>57.6108922390099</v>
      </c>
      <c r="O114" s="76"/>
      <c r="P114" s="66"/>
    </row>
    <row r="115" spans="1:17" x14ac:dyDescent="0.3">
      <c r="B115" s="62">
        <v>2</v>
      </c>
      <c r="C115" s="63">
        <v>245.36</v>
      </c>
      <c r="D115" s="63">
        <v>318.72000000000003</v>
      </c>
      <c r="E115" s="63">
        <v>402.15</v>
      </c>
      <c r="F115" s="64" t="str">
        <f>IF(AND(C115+D115&gt;E115,C115+E115&gt;D115,D115+E115&gt;C115),"ano","nie")</f>
        <v>ano</v>
      </c>
      <c r="G115" s="63">
        <f>IF(F115="ano",C115+D115+E115,"-")</f>
        <v>966.23</v>
      </c>
      <c r="H115" s="63">
        <f>IF(F115="ano",SQRT((C115+D115+E115)/2*((C115+D115+E115)/2-C115)*((C115+D115+E115)/2-D115)*((C115+D115+E115)/2-E115)),"nema riesenie")</f>
        <v>39100.566785232433</v>
      </c>
      <c r="I115" s="63">
        <f>IF(F115="ano",H115/(C115+D115+E115)/2,"-")</f>
        <v>20.233571088266991</v>
      </c>
      <c r="J115" s="63">
        <f>IF(F115="ano",C115*D115*E115/(4*H115),"-")</f>
        <v>201.07501447496637</v>
      </c>
      <c r="K115" s="65">
        <f>IF(F115="ano",2*ATAN(I115/((C115+D115+E115)/2-C115))*$C$111,"-")</f>
        <v>10.809555173052965</v>
      </c>
      <c r="L115" s="65">
        <f>IF(F115="ano",2*ATAN(I115/((C115+D115+E115)/2-D115))*$C$111,"-")</f>
        <v>15.592485743398393</v>
      </c>
      <c r="M115" s="65">
        <f>IF(F115="ano",2*ATAN(I115/((C115+D115+E115)/2-E115))*$C$111,"-")</f>
        <v>31.180286528483915</v>
      </c>
      <c r="N115" s="84">
        <f>IF(F115="ano",K115+L115+M115,"-")</f>
        <v>57.582327444935274</v>
      </c>
      <c r="O115" s="76"/>
      <c r="P115" s="66"/>
    </row>
    <row r="116" spans="1:17" x14ac:dyDescent="0.3">
      <c r="B116" s="62">
        <v>3</v>
      </c>
      <c r="C116" s="63">
        <v>512.4</v>
      </c>
      <c r="D116" s="63">
        <v>487.93</v>
      </c>
      <c r="E116" s="63">
        <v>150.68</v>
      </c>
      <c r="F116" s="64" t="str">
        <f>IF(AND(C116+D116&gt;E116,C116+E116&gt;D116,D116+E116&gt;C116),"ano","nie")</f>
        <v>ano</v>
      </c>
      <c r="G116" s="63">
        <f>IF(F116="ano",C116+D116+E116,"-")</f>
        <v>1151.01</v>
      </c>
      <c r="H116" s="63">
        <f>IF(F116="ano",SQRT((C116+D116+E116)/2*((C116+D116+E116)/2-C116)*((C116+D116+E116)/2-D116)*((C116+D116+E116)/2-E116)),"nema riesenie")</f>
        <v>36757.971960732197</v>
      </c>
      <c r="I116" s="63">
        <f>IF(F116="ano",H116/(C116+D116+E116)/2,"-")</f>
        <v>15.96770313061233</v>
      </c>
      <c r="J116" s="63">
        <f>IF(F116="ano",C116*D116*E116/(4*H116),"-")</f>
        <v>256.21863922474131</v>
      </c>
      <c r="K116" s="65">
        <f>IF(F116="ano",2*ATAN(I116/((C116+D116+E116)/2-C116))*$C$111,"-")</f>
        <v>31.554954988530895</v>
      </c>
      <c r="L116" s="65">
        <f>IF(F116="ano",2*ATAN(I116/((C116+D116+E116)/2-D116))*$C$111,"-")</f>
        <v>22.962950335263024</v>
      </c>
      <c r="M116" s="65">
        <f>IF(F116="ano",2*ATAN(I116/((C116+D116+E116)/2-E116))*$C$111,"-")</f>
        <v>4.7834155506761329</v>
      </c>
      <c r="N116" s="84">
        <f>IF(F116="ano",K116+L116+M116,"-")</f>
        <v>59.301320874470051</v>
      </c>
      <c r="O116" s="76"/>
      <c r="P116" s="66"/>
    </row>
    <row r="117" spans="1:17" x14ac:dyDescent="0.3">
      <c r="B117" s="62">
        <v>4</v>
      </c>
      <c r="C117" s="63">
        <v>700.25</v>
      </c>
      <c r="D117" s="63">
        <v>650.1</v>
      </c>
      <c r="E117" s="63">
        <v>820.47</v>
      </c>
      <c r="F117" s="64" t="str">
        <f>IF(AND(C117+D117&gt;E117,C117+E117&gt;D117,D117+E117&gt;C117),"ano","nie")</f>
        <v>ano</v>
      </c>
      <c r="G117" s="63">
        <f>IF(F117="ano",C117+D117+E117,"-")</f>
        <v>2170.8199999999997</v>
      </c>
      <c r="H117" s="63">
        <f>IF(F117="ano",SQRT((C117+D117+E117)/2*((C117+D117+E117)/2-C117)*((C117+D117+E117)/2-D117)*((C117+D117+E117)/2-E117)),"nema riesenie")</f>
        <v>219578.89044176837</v>
      </c>
      <c r="I117" s="63">
        <f>IF(F117="ano",H117/(C117+D117+E117)/2,"-")</f>
        <v>50.575103058237993</v>
      </c>
      <c r="J117" s="63">
        <f>IF(F117="ano",C117*D117*E117/(4*H117),"-")</f>
        <v>425.25106698018664</v>
      </c>
      <c r="K117" s="65">
        <f>IF(F117="ano",2*ATAN(I117/((C117+D117+E117)/2-C117))*$C$111,"-")</f>
        <v>16.623716208254933</v>
      </c>
      <c r="L117" s="65">
        <f>IF(F117="ano",2*ATAN(I117/((C117+D117+E117)/2-D117))*$C$111,"-")</f>
        <v>14.72670274547599</v>
      </c>
      <c r="M117" s="65">
        <f>IF(F117="ano",2*ATAN(I117/((C117+D117+E117)/2-E117))*$C$111,"-")</f>
        <v>24.016273286753549</v>
      </c>
      <c r="N117" s="84">
        <f>IF(F117="ano",K117+L117+M117,"-")</f>
        <v>55.366692240484468</v>
      </c>
      <c r="O117" s="76"/>
      <c r="P117" s="66"/>
    </row>
    <row r="118" spans="1:17" x14ac:dyDescent="0.3">
      <c r="B118" s="62">
        <v>5</v>
      </c>
      <c r="C118" s="63">
        <v>100</v>
      </c>
      <c r="D118" s="63">
        <v>200</v>
      </c>
      <c r="E118" s="63">
        <v>450</v>
      </c>
      <c r="F118" s="64" t="str">
        <f>IF(AND(C118+D118&gt;E118,C118+E118&gt;D118,D118+E118&gt;C118),"ano","nie")</f>
        <v>nie</v>
      </c>
      <c r="G118" s="63" t="str">
        <f>IF(F118="ano",C118+D118+E118,"-")</f>
        <v>-</v>
      </c>
      <c r="H118" s="63" t="str">
        <f>IF(F118="ano",SQRT((C118+D118+E118)/2*((C118+D118+E118)/2-C118)*((C118+D118+E118)/2-D118)*((C118+D118+E118)/2-E118)),"nema riesenie")</f>
        <v>nema riesenie</v>
      </c>
      <c r="I118" s="63" t="str">
        <f>IF(F118="ano",H118/(C118+D118+E118)/2,"-")</f>
        <v>-</v>
      </c>
      <c r="J118" s="63" t="str">
        <f>IF(F118="ano",C118*D118*E118/(4*H118),"-")</f>
        <v>-</v>
      </c>
      <c r="K118" s="65" t="str">
        <f>IF(F118="ano",2*ATAN(I118/((C118+D118+E118)/2-C118))*$C$111,"-")</f>
        <v>-</v>
      </c>
      <c r="L118" s="65" t="str">
        <f>IF(F118="ano",2*ATAN(I118/((C118+D118+E118)/2-D118))*$C$111,"-")</f>
        <v>-</v>
      </c>
      <c r="M118" s="65" t="str">
        <f>IF(F118="ano",2*ATAN(I118/((C118+D118+E118)/2-E118))*$C$111,"-")</f>
        <v>-</v>
      </c>
      <c r="N118" s="84" t="str">
        <f>IF(F118="ano",K118+L118+M118,"-")</f>
        <v>-</v>
      </c>
      <c r="O118" s="76"/>
      <c r="P118" s="66"/>
    </row>
    <row r="120" spans="1:17" x14ac:dyDescent="0.3">
      <c r="A120" s="49"/>
    </row>
    <row r="121" spans="1:17" x14ac:dyDescent="0.3">
      <c r="A121" s="51"/>
    </row>
    <row r="122" spans="1:17" x14ac:dyDescent="0.3">
      <c r="A122" s="51"/>
      <c r="B122" s="85" t="s">
        <v>106</v>
      </c>
      <c r="C122" s="74"/>
      <c r="D122" s="74"/>
      <c r="E122" s="74"/>
      <c r="F122" s="74"/>
      <c r="G122" s="74"/>
      <c r="H122" s="74"/>
      <c r="I122" s="74"/>
      <c r="J122" s="74"/>
      <c r="K122" s="74"/>
      <c r="L122" s="74"/>
      <c r="M122" s="74"/>
      <c r="N122" s="74"/>
      <c r="O122" s="74"/>
      <c r="P122" s="74"/>
      <c r="Q122" s="74"/>
    </row>
    <row r="123" spans="1:17" x14ac:dyDescent="0.3">
      <c r="A123" s="51"/>
    </row>
    <row r="124" spans="1:17" x14ac:dyDescent="0.3">
      <c r="A124" s="51"/>
      <c r="B124" s="51" t="s">
        <v>107</v>
      </c>
    </row>
    <row r="125" spans="1:17" x14ac:dyDescent="0.3">
      <c r="A125" s="51"/>
      <c r="B125" s="51" t="s">
        <v>108</v>
      </c>
    </row>
    <row r="126" spans="1:17" x14ac:dyDescent="0.3">
      <c r="B126" s="51" t="s">
        <v>109</v>
      </c>
    </row>
    <row r="128" spans="1:17" ht="41.4" customHeight="1" x14ac:dyDescent="0.3">
      <c r="C128" s="89" t="s">
        <v>110</v>
      </c>
      <c r="D128" s="78"/>
      <c r="E128" s="76"/>
      <c r="G128" s="41" t="s">
        <v>95</v>
      </c>
      <c r="I128" s="77" t="s">
        <v>111</v>
      </c>
      <c r="J128" s="78"/>
      <c r="K128" s="76"/>
      <c r="M128" s="41" t="s">
        <v>112</v>
      </c>
      <c r="N128" s="41" t="s">
        <v>113</v>
      </c>
      <c r="P128" s="41" t="s">
        <v>114</v>
      </c>
    </row>
    <row r="129" spans="3:16" x14ac:dyDescent="0.3">
      <c r="C129" s="43">
        <v>2</v>
      </c>
      <c r="D129" s="43">
        <v>1</v>
      </c>
      <c r="E129" s="43">
        <v>-1</v>
      </c>
      <c r="G129" s="43">
        <v>8</v>
      </c>
      <c r="I129" s="42">
        <f t="array" ref="I129:K131">MINVERSE(C129:E131)</f>
        <v>0.50000000000000011</v>
      </c>
      <c r="J129" s="42">
        <v>0.3</v>
      </c>
      <c r="K129" s="42">
        <v>-0.10000000000000009</v>
      </c>
      <c r="M129" s="44" t="s">
        <v>115</v>
      </c>
      <c r="N129" s="45">
        <f t="array" ref="N129:N131">MMULT(I129:K131,G129:G131)</f>
        <v>3</v>
      </c>
      <c r="P129" s="67">
        <f t="array" ref="P129:P131">MMULT(C129:E131,N129:N131)</f>
        <v>8</v>
      </c>
    </row>
    <row r="130" spans="3:16" x14ac:dyDescent="0.3">
      <c r="C130" s="43">
        <v>1</v>
      </c>
      <c r="D130" s="43">
        <v>-1</v>
      </c>
      <c r="E130" s="43">
        <v>2</v>
      </c>
      <c r="G130" s="43">
        <v>0</v>
      </c>
      <c r="I130" s="42">
        <v>-0.50000000000000011</v>
      </c>
      <c r="J130" s="42">
        <v>-0.5</v>
      </c>
      <c r="K130" s="42">
        <v>0.50000000000000011</v>
      </c>
      <c r="M130" s="44" t="s">
        <v>116</v>
      </c>
      <c r="N130" s="45">
        <v>1</v>
      </c>
      <c r="P130" s="67">
        <v>8.8817841970012523E-16</v>
      </c>
    </row>
    <row r="131" spans="3:16" x14ac:dyDescent="0.3">
      <c r="C131" s="43">
        <v>3</v>
      </c>
      <c r="D131" s="43">
        <v>2</v>
      </c>
      <c r="E131" s="43">
        <v>1</v>
      </c>
      <c r="G131" s="43">
        <v>10</v>
      </c>
      <c r="I131" s="42">
        <v>-0.5</v>
      </c>
      <c r="J131" s="42">
        <v>0.1</v>
      </c>
      <c r="K131" s="42">
        <v>0.30000000000000004</v>
      </c>
      <c r="M131" s="44" t="s">
        <v>117</v>
      </c>
      <c r="N131" s="45">
        <v>-0.99999999999999956</v>
      </c>
      <c r="P131" s="67">
        <v>10</v>
      </c>
    </row>
    <row r="133" spans="3:16" x14ac:dyDescent="0.3">
      <c r="C133" s="77" t="s">
        <v>118</v>
      </c>
      <c r="D133" s="78"/>
      <c r="E133" s="76"/>
      <c r="G133" s="68">
        <f>MDETERM(C129:E131)</f>
        <v>-9.9999999999999982</v>
      </c>
    </row>
    <row r="134" spans="3:16" x14ac:dyDescent="0.3">
      <c r="C134" s="69"/>
      <c r="G134" s="70"/>
    </row>
    <row r="135" spans="3:16" x14ac:dyDescent="0.3">
      <c r="G135" s="70" t="s">
        <v>119</v>
      </c>
    </row>
    <row r="136" spans="3:16" x14ac:dyDescent="0.3">
      <c r="G136" s="70"/>
    </row>
  </sheetData>
  <mergeCells count="23">
    <mergeCell ref="B2:AA3"/>
    <mergeCell ref="M4:N4"/>
    <mergeCell ref="H26:I26"/>
    <mergeCell ref="S4:U4"/>
    <mergeCell ref="H31:AF31"/>
    <mergeCell ref="H27:I27"/>
    <mergeCell ref="G4:H4"/>
    <mergeCell ref="N118:O118"/>
    <mergeCell ref="N114:O114"/>
    <mergeCell ref="P4:Q4"/>
    <mergeCell ref="B84:N84"/>
    <mergeCell ref="N113:O113"/>
    <mergeCell ref="C133:E133"/>
    <mergeCell ref="H25:I25"/>
    <mergeCell ref="B75:E75"/>
    <mergeCell ref="N115:O115"/>
    <mergeCell ref="N117:O117"/>
    <mergeCell ref="B109:Q109"/>
    <mergeCell ref="J4:K4"/>
    <mergeCell ref="I128:K128"/>
    <mergeCell ref="B122:Q122"/>
    <mergeCell ref="N116:O116"/>
    <mergeCell ref="C128:E128"/>
  </mergeCells>
  <conditionalFormatting sqref="Y6:Y23">
    <cfRule type="cellIs" dxfId="0" priority="1" operator="lessThan">
      <formula>2</formula>
    </cfRule>
  </conditionalFormatting>
  <dataValidations disablePrompts="1" count="1">
    <dataValidation type="list" sqref="D6:D23 G6:G23 J6:J23 M6:M23 P6:P23 S6:S23" xr:uid="{00000000-0002-0000-0000-000000000000}">
      <formula1>"1,1.5,2,2.5,3,3.5,4"</formula1>
    </dataValidation>
  </dataValidation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edith Molar</dc:creator>
  <cp:lastModifiedBy>edith Molar</cp:lastModifiedBy>
  <dcterms:created xsi:type="dcterms:W3CDTF">2026-09-23T09:24:17Z</dcterms:created>
  <dcterms:modified xsi:type="dcterms:W3CDTF">2026-09-30T09:31:31Z</dcterms:modified>
</cp:coreProperties>
</file>